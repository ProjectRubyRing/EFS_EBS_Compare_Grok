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結論" sheetId="1" state="visible" r:id="rId1"/>
    <sheet xmlns:r="http://schemas.openxmlformats.org/officeDocument/2006/relationships" name="01_たとえ" sheetId="2" state="visible" r:id="rId2"/>
    <sheet xmlns:r="http://schemas.openxmlformats.org/officeDocument/2006/relationships" name="02_今回のサーバ" sheetId="3" state="visible" r:id="rId3"/>
    <sheet xmlns:r="http://schemas.openxmlformats.org/officeDocument/2006/relationships" name="03_歴史" sheetId="4" state="visible" r:id="rId4"/>
    <sheet xmlns:r="http://schemas.openxmlformats.org/officeDocument/2006/relationships" name="04_動作原理" sheetId="5" state="visible" r:id="rId5"/>
    <sheet xmlns:r="http://schemas.openxmlformats.org/officeDocument/2006/relationships" name="05_比較" sheetId="6" state="visible" r:id="rId6"/>
    <sheet xmlns:r="http://schemas.openxmlformats.org/officeDocument/2006/relationships" name="06_性能" sheetId="7" state="visible" r:id="rId7"/>
    <sheet xmlns:r="http://schemas.openxmlformats.org/officeDocument/2006/relationships" name="07_CPUと帯域" sheetId="8" state="visible" r:id="rId8"/>
    <sheet xmlns:r="http://schemas.openxmlformats.org/officeDocument/2006/relationships" name="08_ログと一時" sheetId="9" state="visible" r:id="rId9"/>
    <sheet xmlns:r="http://schemas.openxmlformats.org/officeDocument/2006/relationships" name="09_向き不向き" sheetId="10" state="visible" r:id="rId10"/>
    <sheet xmlns:r="http://schemas.openxmlformats.org/officeDocument/2006/relationships" name="10_推奨" sheetId="11" state="visible" r:id="rId11"/>
    <sheet xmlns:r="http://schemas.openxmlformats.org/officeDocument/2006/relationships" name="11_コスト" sheetId="12" state="visible" r:id="rId12"/>
    <sheet xmlns:r="http://schemas.openxmlformats.org/officeDocument/2006/relationships" name="12_避けること" sheetId="13" state="visible" r:id="rId13"/>
    <sheet xmlns:r="http://schemas.openxmlformats.org/officeDocument/2006/relationships" name="13_用語" sheetId="14" state="visible" r:id="rId14"/>
    <sheet xmlns:r="http://schemas.openxmlformats.org/officeDocument/2006/relationships" name="14_出典" sheetId="15" state="visible" r:id="rId15"/>
  </sheets>
  <definedNames>
    <definedName name="_xlnm._FilterDatabase" localSheetId="0" hidden="1">'00_結論'!$A$16:$E$30</definedName>
    <definedName name="_xlnm.Print_Titles" localSheetId="0">'00_結論'!$1:$16</definedName>
    <definedName name="_xlnm.Print_Titles" localSheetId="1">'01_たとえ'!$1:$5</definedName>
    <definedName name="_xlnm.Print_Titles" localSheetId="2">'02_今回のサーバ'!$1:$25</definedName>
    <definedName name="_xlnm.Print_Titles" localSheetId="3">'03_歴史'!$1:$21</definedName>
    <definedName name="_xlnm.Print_Titles" localSheetId="4">'04_動作原理'!$1:$23</definedName>
    <definedName name="_xlnm._FilterDatabase" localSheetId="5" hidden="1">'05_比較'!$A$5:$E$21</definedName>
    <definedName name="_xlnm.Print_Titles" localSheetId="5">'05_比較'!$1:$5</definedName>
    <definedName name="_xlnm.Print_Titles" localSheetId="6">'06_性能'!$1:$22</definedName>
    <definedName name="_xlnm.Print_Titles" localSheetId="7">'07_CPUと帯域'!$1:$17</definedName>
    <definedName name="_xlnm.Print_Titles" localSheetId="8">'08_ログと一時'!$1:$20</definedName>
    <definedName name="_xlnm.Print_Titles" localSheetId="9">'09_向き不向き'!$1:$19</definedName>
    <definedName name="_xlnm.Print_Titles" localSheetId="10">'10_推奨'!$1:$25</definedName>
    <definedName name="_xlnm._FilterDatabase" localSheetId="11" hidden="1">'11_コスト'!$A$13:$P$18</definedName>
    <definedName name="_xlnm.Print_Titles" localSheetId="11">'11_コスト'!$1:$13</definedName>
    <definedName name="_xlnm._FilterDatabase" localSheetId="12" hidden="1">'12_避けること'!$A$5:$D$19</definedName>
    <definedName name="_xlnm.Print_Titles" localSheetId="12">'12_避けること'!$1:$5</definedName>
    <definedName name="_xlnm._FilterDatabase" localSheetId="13" hidden="1">'13_用語'!$A$4:$C$28</definedName>
    <definedName name="_xlnm.Print_Titles" localSheetId="13">'13_用語'!$1:$4</definedName>
    <definedName name="_xlnm.Print_Titles" localSheetId="14">'14_出典'!$1:$21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.00"/>
    <numFmt numFmtId="166" formatCode="0.0&quot;倍&quot;"/>
  </numFmts>
  <fonts count="8">
    <font>
      <name val="Meiryo UI"/>
      <family val="2"/>
      <color theme="1"/>
      <sz val="10"/>
      <scheme val="minor"/>
    </font>
    <font>
      <name val="Meiryo UI"/>
      <color rgb="FF1A1A1A"/>
      <sz val="10"/>
    </font>
    <font>
      <name val="Meiryo UI"/>
      <b val="1"/>
      <color rgb="FFFFFFFF"/>
      <sz val="18"/>
    </font>
    <font>
      <name val="Meiryo UI"/>
      <b val="1"/>
      <color rgb="FFFFFFFF"/>
      <sz val="11"/>
    </font>
    <font>
      <name val="Meiryo UI"/>
      <b val="1"/>
      <color rgb="FFFFFFFF"/>
      <sz val="10"/>
    </font>
    <font>
      <name val="Meiryo UI"/>
      <b val="1"/>
      <color rgb="FF1A1A1A"/>
      <sz val="10"/>
    </font>
    <font>
      <name val="Meiryo UI"/>
      <b val="1"/>
      <color rgb="FFFFFFFF"/>
      <sz val="16"/>
    </font>
    <font>
      <name val="Meiryo UI"/>
      <b val="1"/>
      <color rgb="FF1A1A1A"/>
      <sz val="11"/>
    </font>
  </fonts>
  <fills count="10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2C2C2C"/>
      </patternFill>
    </fill>
    <fill>
      <patternFill patternType="solid">
        <fgColor rgb="FF4A4A4A"/>
      </patternFill>
    </fill>
    <fill>
      <patternFill patternType="solid">
        <fgColor rgb="FFCFCFCF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E7E7E7"/>
      </patternFill>
    </fill>
    <fill>
      <patternFill patternType="solid">
        <fgColor rgb="FFD4D4D4"/>
      </patternFill>
    </fill>
  </fills>
  <borders count="4">
    <border>
      <left/>
      <right/>
      <top/>
      <bottom/>
      <diagonal/>
    </border>
    <border/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medium">
        <color rgb="001A1A1A"/>
      </left>
      <right style="medium">
        <color rgb="001A1A1A"/>
      </right>
      <top style="medium">
        <color rgb="001A1A1A"/>
      </top>
      <bottom style="medium">
        <color rgb="001A1A1A"/>
      </bottom>
    </border>
  </borders>
  <cellStyleXfs count="1">
    <xf numFmtId="0" fontId="1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 inden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1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1" fillId="7" borderId="2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164" fontId="7" fillId="6" borderId="3" applyAlignment="1" applyProtection="1" pivotButton="0" quotePrefix="0" xfId="0">
      <alignment horizontal="left" vertical="center" wrapText="1"/>
      <protection locked="0" hidden="0"/>
    </xf>
    <xf numFmtId="0" fontId="1" fillId="8" borderId="2" applyAlignment="1" pivotButton="0" quotePrefix="0" xfId="0">
      <alignment horizontal="left" vertical="center" wrapText="1"/>
    </xf>
    <xf numFmtId="3" fontId="1" fillId="6" borderId="2" applyAlignment="1" pivotButton="0" quotePrefix="0" xfId="0">
      <alignment horizontal="right" vertical="center" wrapText="1"/>
    </xf>
    <xf numFmtId="165" fontId="5" fillId="9" borderId="2" applyAlignment="1" pivotButton="0" quotePrefix="0" xfId="0">
      <alignment horizontal="right" vertical="center" wrapText="1"/>
    </xf>
    <xf numFmtId="166" fontId="5" fillId="9" borderId="2" applyAlignment="1" pivotButton="0" quotePrefix="0" xfId="0">
      <alignment horizontal="right" vertical="center" wrapText="1"/>
    </xf>
    <xf numFmtId="3" fontId="1" fillId="7" borderId="2" applyAlignment="1" pivotButton="0" quotePrefix="0" xfId="0">
      <alignment horizontal="right" vertical="center" wrapText="1"/>
    </xf>
    <xf numFmtId="3" fontId="5" fillId="6" borderId="3" applyAlignment="1" applyProtection="1" pivotButton="0" quotePrefix="0" xfId="0">
      <alignment horizontal="right" vertical="center" wrapText="1"/>
      <protection locked="0" hidden="0"/>
    </xf>
    <xf numFmtId="3" fontId="7" fillId="6" borderId="3" applyAlignment="1" applyProtection="1" pivotButton="0" quotePrefix="0" xfId="0">
      <alignment horizontal="right" vertical="center" wrapText="1"/>
      <protection locked="0" hidden="0"/>
    </xf>
    <xf numFmtId="0" fontId="5" fillId="9" borderId="2" applyAlignment="1" pivotButton="0" quotePrefix="0" xfId="0">
      <alignment horizontal="left" vertical="center" wrapText="1"/>
    </xf>
    <xf numFmtId="4" fontId="5" fillId="9" borderId="2" applyAlignment="1" pivotButton="0" quotePrefix="0" xfId="0">
      <alignment horizontal="right" vertical="center" wrapText="1"/>
    </xf>
    <xf numFmtId="0" fontId="1" fillId="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E30"/>
  <sheetViews>
    <sheetView showGridLines="0" view="normal" zoomScale="110" zoomScaleNormal="110" workbookViewId="0">
      <pane ySplit="16" topLeftCell="A17" activePane="bottomLeft" state="frozen"/>
      <selection pane="bottomLeft" activeCell="A1" sqref="A1"/>
    </sheetView>
  </sheetViews>
  <sheetFormatPr baseColWidth="8" defaultRowHeight="18"/>
  <cols>
    <col width="28" customWidth="1" min="1" max="1"/>
    <col width="42" customWidth="1" min="2" max="2"/>
    <col width="42" customWidth="1" min="3" max="3"/>
    <col width="42" customWidth="1" min="4" max="4"/>
    <col width="36" customWidth="1" min="5" max="5"/>
  </cols>
  <sheetData>
    <row r="1" ht="36" customHeight="1">
      <c r="A1" s="1" t="inlineStr">
        <is>
          <t>バッチサーバのログと一時領域は、EBS（gp3）を採用する</t>
        </is>
      </c>
      <c r="B1" s="2" t="n"/>
      <c r="C1" s="2" t="n"/>
      <c r="D1" s="2" t="n"/>
      <c r="E1" s="2" t="n"/>
    </row>
    <row r="2" ht="32" customHeight="1">
      <c r="A2" s="3" t="inlineStr">
        <is>
          <t>EFSは壊れている製品ではない。複数のコンピュータが同じファイルを同時に読み書きするための共有棚である。今回のログと一時ファイルは、その棚を必要としない。</t>
        </is>
      </c>
      <c r="B2" s="4" t="n"/>
      <c r="C2" s="4" t="n"/>
      <c r="D2" s="4" t="n"/>
      <c r="E2" s="4" t="n"/>
    </row>
    <row r="3" ht="8" customHeight="1">
      <c r="A3" s="5" t="n"/>
      <c r="B3" s="5" t="n"/>
      <c r="C3" s="5" t="n"/>
      <c r="D3" s="5" t="n"/>
      <c r="E3" s="5" t="n"/>
    </row>
    <row r="4" ht="24" customHeight="1">
      <c r="A4" s="6" t="inlineStr">
        <is>
          <t>30秒で伝える結論</t>
        </is>
      </c>
      <c r="B4" s="6" t="n"/>
      <c r="C4" s="6" t="n"/>
      <c r="D4" s="6" t="n"/>
      <c r="E4" s="6" t="n"/>
    </row>
    <row r="5" ht="32" customHeight="1">
      <c r="A5" s="7" t="inlineStr">
        <is>
          <t>問い</t>
        </is>
      </c>
      <c r="B5" s="7" t="inlineStr">
        <is>
          <t>答え</t>
        </is>
      </c>
      <c r="C5" s="7" t="inlineStr">
        <is>
          <t>なぜそう言えるか</t>
        </is>
      </c>
      <c r="D5" s="7" t="inlineStr">
        <is>
          <t>こうすると困ること</t>
        </is>
      </c>
      <c r="E5" s="7" t="inlineStr">
        <is>
          <t>採用条件</t>
        </is>
      </c>
    </row>
    <row r="6" ht="78" customHeight="1">
      <c r="A6" s="8" t="inlineStr">
        <is>
          <t>ログの書き出し先</t>
        </is>
      </c>
      <c r="B6" s="9" t="inlineStr">
        <is>
          <t>EBS gp3。別ボリュームに置く</t>
        </is>
      </c>
      <c r="C6" s="9" t="inlineStr">
        <is>
          <t>1台のEC2の中のJVMは、その台のディスクを最初から共有している。EBSは専用の通り道を使い、遅延が短く、書き込み回数で料金が膨らまない。</t>
        </is>
      </c>
      <c r="D6" s="9" t="inlineStr">
        <is>
          <t>EFSに置くと、1行ごとの書き込みがネットワークの往復になり、CPUと通信帯域を計算処理と取り合います。小さい書き込みは32KiB単位で課金されます。</t>
        </is>
      </c>
      <c r="E6" s="9" t="inlineStr">
        <is>
          <t>ログを台の外へ残す必要は、EFSではなくログ転送（CloudWatchまたはS3）で満たします。</t>
        </is>
      </c>
    </row>
    <row r="7" ht="78" customHeight="1">
      <c r="A7" s="8" t="inlineStr">
        <is>
          <t>一時領域</t>
        </is>
      </c>
      <c r="B7" s="9" t="inlineStr">
        <is>
          <t>EBS gp3。ログとは分ける</t>
        </is>
      </c>
      <c r="C7" s="9" t="inlineStr">
        <is>
          <t>一時ファイルは作って、読んで、消す使い方です。耐久性の高い共有棚は余分です。容量の上限は、書き過ぎを止める安全装置になります。</t>
        </is>
      </c>
      <c r="D7" s="9" t="inlineStr">
        <is>
          <t>EFSだと作成と削除のたびにメタデータ通信が走ります。Elastic Throughputは読み書きの量で課金され、上限がありません。</t>
        </is>
      </c>
      <c r="E7" s="9" t="inlineStr">
        <is>
          <t>一時ファイルを他のEC2と同時に共有する要件が後から出たときだけ、そのディレクトリに限って再検討します。</t>
        </is>
      </c>
    </row>
    <row r="8" ht="78" customHeight="1">
      <c r="A8" s="10" t="inlineStr">
        <is>
          <t>EFSでも問題ないか</t>
        </is>
      </c>
      <c r="B8" s="11" t="inlineStr">
        <is>
          <t>動くことはある。この条件では不利</t>
        </is>
      </c>
      <c r="C8" s="11" t="inlineStr">
        <is>
          <t>EFSの読み書き遅延の最良値は、読み約1ミリ秒、書き約2.7ミリ秒です。EBSは1ミリ秒未満が通常の範囲で、io2 Block Expressは16KiBで平均500マイクロ秒未満を目標にしています。ITのCPUはすでに90%を超えています。</t>
        </is>
      </c>
      <c r="D8" s="11" t="inlineStr">
        <is>
          <t>遅延、追加CPU、ネットワークの取り合い、料金、起動時のマウント依存が重なります。</t>
        </is>
      </c>
      <c r="E8" s="11" t="inlineStr">
        <is>
          <t>複数EC2が同じ入出力ファイルをPOSIXのまま共有し、大きいファイルの順次アクセスが中心で、CPUに余裕がある場合。</t>
        </is>
      </c>
    </row>
    <row r="9" ht="78" customHeight="1">
      <c r="A9" s="12" t="inlineStr">
        <is>
          <t>本番の置き方</t>
        </is>
      </c>
      <c r="B9" s="13" t="inlineStr">
        <is>
          <t>サーバごとにローカルなEBS</t>
        </is>
      </c>
      <c r="C9" s="13" t="inlineStr">
        <is>
          <t>本番は58JVM、32vCPU、多重度32です。同時に動く計算がvCPUの数と同じなら、OSと暗号化に渡す空きコアはほぼありません。</t>
        </is>
      </c>
      <c r="D9" s="13" t="inlineStr">
        <is>
          <t>共有が要らないのに全JVMのログと一時領域を1つのEFSへ集めると、その1台のネットワーク全部をファイル転送に使いかねません。</t>
        </is>
      </c>
      <c r="E9" s="13" t="inlineStr">
        <is>
          <t>台をまたぐ共有が必要になったディレクトリだけEFS。一時領域は各台のEBSのまま。</t>
        </is>
      </c>
    </row>
    <row r="10" ht="24" customHeight="1">
      <c r="A10" s="6" t="inlineStr">
        <is>
          <t>たとえで言うと</t>
        </is>
      </c>
      <c r="B10" s="6" t="n"/>
      <c r="C10" s="6" t="n"/>
      <c r="D10" s="6" t="n"/>
      <c r="E10" s="6" t="n"/>
    </row>
    <row r="11" ht="32" customHeight="1">
      <c r="A11" s="7" t="inlineStr">
        <is>
          <t>たとえ</t>
        </is>
      </c>
      <c r="B11" s="7" t="inlineStr">
        <is>
          <t>EBS</t>
        </is>
      </c>
      <c r="C11" s="7" t="inlineStr">
        <is>
          <t>EFS</t>
        </is>
      </c>
      <c r="D11" s="7" t="inlineStr">
        <is>
          <t>今回のバッチ</t>
        </is>
      </c>
      <c r="E11" s="7" t="inlineStr">
        <is>
          <t>覚え方</t>
        </is>
      </c>
    </row>
    <row r="12" ht="62" customHeight="1">
      <c r="A12" s="10" t="inlineStr">
        <is>
          <t>机と廊下</t>
        </is>
      </c>
      <c r="B12" s="11" t="inlineStr">
        <is>
          <t>自分の机の上のノート。手を伸ばせば書ける。</t>
        </is>
      </c>
      <c r="C12" s="11" t="inlineStr">
        <is>
          <t>廊下の共用棚。どの教室からも同じ紙を出せる。出すたびに廊下を往復する。</t>
        </is>
      </c>
      <c r="D12" s="11" t="inlineStr">
        <is>
          <t>58人は同じ教室（1台のEC2）にいる。廊下へ行く理由がありません。</t>
        </is>
      </c>
      <c r="E12" s="11" t="inlineStr">
        <is>
          <t>同じ教室なら机のノート。別の教室と同じ紙を見るときだけ共用棚。</t>
        </is>
      </c>
    </row>
    <row r="13" ht="62" customHeight="1">
      <c r="A13" s="12" t="inlineStr">
        <is>
          <t>宿題で頭がいっぱい</t>
        </is>
      </c>
      <c r="B13" s="13" t="inlineStr">
        <is>
          <t>ノートに書く時間はごく短い。</t>
        </is>
      </c>
      <c r="C13" s="13" t="inlineStr">
        <is>
          <t>廊下まで走ると、そのあいだ宿題の計算が止まる。暗号化はもう一問増やすことに近い。</t>
        </is>
      </c>
      <c r="D13" s="13" t="inlineStr">
        <is>
          <t>ITは8人分の机しかないのに10人が計算し、頭の使用率が90%を超えている。</t>
        </is>
      </c>
      <c r="E13" s="13" t="inlineStr">
        <is>
          <t>余白がないときに往復を増やさない。</t>
        </is>
      </c>
    </row>
    <row r="14" ht="62" customHeight="1">
      <c r="A14" s="10" t="inlineStr">
        <is>
          <t>下書き</t>
        </is>
      </c>
      <c r="B14" s="11" t="inlineStr">
        <is>
          <t>下書き用紙は使い終わったら捨てる。丈夫な金庫に入れる必要はない。</t>
        </is>
      </c>
      <c r="C14" s="11" t="inlineStr">
        <is>
          <t>共用棚は紙を複数の建物に複製して守る。下書きには過剰。</t>
        </is>
      </c>
      <c r="D14" s="11" t="inlineStr">
        <is>
          <t>一時ファイルは結果を出すための下書きです。</t>
        </is>
      </c>
      <c r="E14" s="11" t="inlineStr">
        <is>
          <t>守りたいのは計算結果と、転送済みのログ。下書きそのものではない。</t>
        </is>
      </c>
    </row>
    <row r="15" ht="24" customHeight="1">
      <c r="A15" s="6" t="inlineStr">
        <is>
          <t>この資料の読み方</t>
        </is>
      </c>
      <c r="B15" s="6" t="n"/>
      <c r="C15" s="6" t="n"/>
      <c r="D15" s="6" t="n"/>
      <c r="E15" s="6" t="n"/>
    </row>
    <row r="16" ht="32" customHeight="1">
      <c r="A16" s="7" t="inlineStr">
        <is>
          <t>順番</t>
        </is>
      </c>
      <c r="B16" s="7" t="inlineStr">
        <is>
          <t>シート</t>
        </is>
      </c>
      <c r="C16" s="7" t="inlineStr">
        <is>
          <t>わかること</t>
        </is>
      </c>
      <c r="D16" s="7" t="inlineStr">
        <is>
          <t>誰向けか</t>
        </is>
      </c>
      <c r="E16" s="7" t="inlineStr">
        <is>
          <t>所要の目安</t>
        </is>
      </c>
    </row>
    <row r="17" ht="22" customHeight="1">
      <c r="A17" s="10" t="inlineStr">
        <is>
          <t>1</t>
        </is>
      </c>
      <c r="B17" s="11" t="inlineStr">
        <is>
          <t>01_たとえ</t>
        </is>
      </c>
      <c r="C17" s="11" t="inlineStr">
        <is>
          <t>机のノートと廊下の棚の違い</t>
        </is>
      </c>
      <c r="D17" s="11" t="inlineStr">
        <is>
          <t>初めて聞く人</t>
        </is>
      </c>
      <c r="E17" s="11" t="inlineStr">
        <is>
          <t>5分</t>
        </is>
      </c>
    </row>
    <row r="18" ht="22" customHeight="1">
      <c r="A18" s="12" t="inlineStr">
        <is>
          <t>2</t>
        </is>
      </c>
      <c r="B18" s="13" t="inlineStr">
        <is>
          <t>02_今回のサーバ</t>
        </is>
      </c>
      <c r="C18" s="13" t="inlineStr">
        <is>
          <t>c7a.2xlargeと本番32vCPUで、何が細いか</t>
        </is>
      </c>
      <c r="D18" s="13" t="inlineStr">
        <is>
          <t>設計の担当</t>
        </is>
      </c>
      <c r="E18" s="13" t="inlineStr">
        <is>
          <t>10分</t>
        </is>
      </c>
    </row>
    <row r="19" ht="22" customHeight="1">
      <c r="A19" s="10" t="inlineStr">
        <is>
          <t>3</t>
        </is>
      </c>
      <c r="B19" s="11" t="inlineStr">
        <is>
          <t>03_歴史</t>
        </is>
      </c>
      <c r="C19" s="11" t="inlineStr">
        <is>
          <t>なぜEBSとEFSが別々に生まれたか。AWS Batchをやめたこととの関係</t>
        </is>
      </c>
      <c r="D19" s="11" t="inlineStr">
        <is>
          <t>経緯を残したい人</t>
        </is>
      </c>
      <c r="E19" s="11" t="inlineStr">
        <is>
          <t>10分</t>
        </is>
      </c>
    </row>
    <row r="20" ht="22" customHeight="1">
      <c r="A20" s="12" t="inlineStr">
        <is>
          <t>4</t>
        </is>
      </c>
      <c r="B20" s="13" t="inlineStr">
        <is>
          <t>04_動作原理</t>
        </is>
      </c>
      <c r="C20" s="13" t="inlineStr">
        <is>
          <t>1回の書き込みがどこを通るか</t>
        </is>
      </c>
      <c r="D20" s="13" t="inlineStr">
        <is>
          <t>方式を説明したい人</t>
        </is>
      </c>
      <c r="E20" s="13" t="inlineStr">
        <is>
          <t>15分</t>
        </is>
      </c>
    </row>
    <row r="21" ht="22" customHeight="1">
      <c r="A21" s="10" t="inlineStr">
        <is>
          <t>5</t>
        </is>
      </c>
      <c r="B21" s="11" t="inlineStr">
        <is>
          <t>05_比較</t>
        </is>
      </c>
      <c r="C21" s="11" t="inlineStr">
        <is>
          <t>項目ごとの違い</t>
        </is>
      </c>
      <c r="D21" s="11" t="inlineStr">
        <is>
          <t>比較表が必要な人</t>
        </is>
      </c>
      <c r="E21" s="11" t="inlineStr">
        <is>
          <t>10分</t>
        </is>
      </c>
    </row>
    <row r="22" ht="22" customHeight="1">
      <c r="A22" s="12" t="inlineStr">
        <is>
          <t>6</t>
        </is>
      </c>
      <c r="B22" s="13" t="inlineStr">
        <is>
          <t>06_性能</t>
        </is>
      </c>
      <c r="C22" s="13" t="inlineStr">
        <is>
          <t>2026年10月時点の公式の遅延、IOPS、帯域</t>
        </is>
      </c>
      <c r="D22" s="13" t="inlineStr">
        <is>
          <t>性能を見る人</t>
        </is>
      </c>
      <c r="E22" s="13" t="inlineStr">
        <is>
          <t>10分</t>
        </is>
      </c>
    </row>
    <row r="23" ht="22" customHeight="1">
      <c r="A23" s="10" t="inlineStr">
        <is>
          <t>7</t>
        </is>
      </c>
      <c r="B23" s="11" t="inlineStr">
        <is>
          <t>07_CPUと帯域</t>
        </is>
      </c>
      <c r="C23" s="11" t="inlineStr">
        <is>
          <t>90%超のCPUと、Up to 12.5Gbpsのベースライン</t>
        </is>
      </c>
      <c r="D23" s="11" t="inlineStr">
        <is>
          <t>ボトルネックを見る人</t>
        </is>
      </c>
      <c r="E23" s="11" t="inlineStr">
        <is>
          <t>10分</t>
        </is>
      </c>
    </row>
    <row r="24" ht="22" customHeight="1">
      <c r="A24" s="12" t="inlineStr">
        <is>
          <t>8</t>
        </is>
      </c>
      <c r="B24" s="13" t="inlineStr">
        <is>
          <t>08_ログと一時</t>
        </is>
      </c>
      <c r="C24" s="13" t="inlineStr">
        <is>
          <t>ログ追記と一時ファイルが、なぜEFSに重いか</t>
        </is>
      </c>
      <c r="D24" s="13" t="inlineStr">
        <is>
          <t>アプリ方式を見る人</t>
        </is>
      </c>
      <c r="E24" s="13" t="inlineStr">
        <is>
          <t>10分</t>
        </is>
      </c>
    </row>
    <row r="25" ht="22" customHeight="1">
      <c r="A25" s="10" t="inlineStr">
        <is>
          <t>9</t>
        </is>
      </c>
      <c r="B25" s="11" t="inlineStr">
        <is>
          <t>09_向き不向き</t>
        </is>
      </c>
      <c r="C25" s="11" t="inlineStr">
        <is>
          <t>メリットとデメリット</t>
        </is>
      </c>
      <c r="D25" s="11" t="inlineStr">
        <is>
          <t>意思決定</t>
        </is>
      </c>
      <c r="E25" s="11" t="inlineStr">
        <is>
          <t>10分</t>
        </is>
      </c>
    </row>
    <row r="26" ht="22" customHeight="1">
      <c r="A26" s="12" t="inlineStr">
        <is>
          <t>10</t>
        </is>
      </c>
      <c r="B26" s="13" t="inlineStr">
        <is>
          <t>10_推奨</t>
        </is>
      </c>
      <c r="C26" s="13" t="inlineStr">
        <is>
          <t>ボリュームの分け方、JVMの設定、測り方</t>
        </is>
      </c>
      <c r="D26" s="13" t="inlineStr">
        <is>
          <t>実装する人</t>
        </is>
      </c>
      <c r="E26" s="13" t="inlineStr">
        <is>
          <t>15分</t>
        </is>
      </c>
    </row>
    <row r="27" ht="22" customHeight="1">
      <c r="A27" s="10" t="inlineStr">
        <is>
          <t>11</t>
        </is>
      </c>
      <c r="B27" s="11" t="inlineStr">
        <is>
          <t>11_コスト</t>
        </is>
      </c>
      <c r="C27" s="11" t="inlineStr">
        <is>
          <t>入力セルを変えると再計算される試算</t>
        </is>
      </c>
      <c r="D27" s="11" t="inlineStr">
        <is>
          <t>費用を見る人</t>
        </is>
      </c>
      <c r="E27" s="11" t="inlineStr">
        <is>
          <t>10分</t>
        </is>
      </c>
    </row>
    <row r="28" ht="22" customHeight="1">
      <c r="A28" s="12" t="inlineStr">
        <is>
          <t>12</t>
        </is>
      </c>
      <c r="B28" s="13" t="inlineStr">
        <is>
          <t>12_避けること</t>
        </is>
      </c>
      <c r="C28" s="13" t="inlineStr">
        <is>
          <t>事故になりやすい選び方</t>
        </is>
      </c>
      <c r="D28" s="13" t="inlineStr">
        <is>
          <t>レビュー</t>
        </is>
      </c>
      <c r="E28" s="13" t="inlineStr">
        <is>
          <t>5分</t>
        </is>
      </c>
    </row>
    <row r="29" ht="22" customHeight="1">
      <c r="A29" s="10" t="inlineStr">
        <is>
          <t>13</t>
        </is>
      </c>
      <c r="B29" s="11" t="inlineStr">
        <is>
          <t>13_用語</t>
        </is>
      </c>
      <c r="C29" s="11" t="inlineStr">
        <is>
          <t>言葉の意味</t>
        </is>
      </c>
      <c r="D29" s="11" t="inlineStr">
        <is>
          <t>読み合わせ</t>
        </is>
      </c>
      <c r="E29" s="11" t="inlineStr">
        <is>
          <t>必要時</t>
        </is>
      </c>
    </row>
    <row r="30" ht="22" customHeight="1">
      <c r="A30" s="12" t="inlineStr">
        <is>
          <t>14</t>
        </is>
      </c>
      <c r="B30" s="13" t="inlineStr">
        <is>
          <t>14_出典</t>
        </is>
      </c>
      <c r="C30" s="13" t="inlineStr">
        <is>
          <t>数字の出所と、まだ測っていないこと</t>
        </is>
      </c>
      <c r="D30" s="13" t="inlineStr">
        <is>
          <t>確認</t>
        </is>
      </c>
      <c r="E30" s="13" t="inlineStr">
        <is>
          <t>5分</t>
        </is>
      </c>
    </row>
  </sheetData>
  <autoFilter ref="A16:E30"/>
  <mergeCells count="5">
    <mergeCell ref="A4:E4"/>
    <mergeCell ref="A2:E2"/>
    <mergeCell ref="A15:E15"/>
    <mergeCell ref="A10:E10"/>
    <mergeCell ref="A1:E1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00 結論&amp;C&amp;R&amp;"Meiryo UI"&amp;9 EBSとEFS比較  2026-10-12</oddHeader>
    <oddFooter>&amp;L&amp;"Meiryo UI"&amp;8 東京リージョン公開料金・税別。性能値は公式仕様の最良条件を含む。&amp;C&amp;"Meiryo UI"&amp;8 入力を変えてよいセルは 11_コスト の太枠だけです&amp;R&amp;"Meiryo UI"&amp;8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4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4" customWidth="1" min="1" max="1"/>
    <col width="55" customWidth="1" min="2" max="2"/>
    <col width="55" customWidth="1" min="3" max="3"/>
    <col width="40" customWidth="1" min="4" max="4"/>
  </cols>
  <sheetData>
    <row r="1" ht="32" customHeight="1">
      <c r="A1" s="14" t="inlineStr">
        <is>
          <t>小学生にもわかるたとえ。その直後に、本物の名前へ戻します</t>
        </is>
      </c>
      <c r="B1" s="15" t="n"/>
      <c r="C1" s="15" t="n"/>
      <c r="D1" s="15" t="n"/>
    </row>
    <row r="2" ht="24" customHeight="1">
      <c r="A2" s="3" t="inlineStr">
        <is>
          <t>たとえは入口です。設計の決定は、このあとのシートの数字で行います。</t>
        </is>
      </c>
      <c r="B2" s="4" t="n"/>
      <c r="C2" s="4" t="n"/>
      <c r="D2" s="4" t="n"/>
    </row>
    <row r="3">
      <c r="A3" s="5" t="n"/>
      <c r="B3" s="5" t="n"/>
      <c r="C3" s="5" t="n"/>
      <c r="D3" s="5" t="n"/>
    </row>
    <row r="4" ht="24" customHeight="1">
      <c r="A4" s="6" t="inlineStr">
        <is>
          <t>物語</t>
        </is>
      </c>
      <c r="B4" s="6" t="n"/>
      <c r="C4" s="6" t="n"/>
      <c r="D4" s="6" t="n"/>
    </row>
    <row r="5" ht="32" customHeight="1">
      <c r="A5" s="7" t="inlineStr">
        <is>
          <t>場面</t>
        </is>
      </c>
      <c r="B5" s="7" t="inlineStr">
        <is>
          <t>お話</t>
        </is>
      </c>
      <c r="C5" s="7" t="inlineStr">
        <is>
          <t>AWSでの本体</t>
        </is>
      </c>
      <c r="D5" s="7" t="inlineStr">
        <is>
          <t>今回どうなるか</t>
        </is>
      </c>
    </row>
    <row r="6" ht="72" customHeight="1">
      <c r="A6" s="10" t="inlineStr">
        <is>
          <t>2006年、雲の上の机</t>
        </is>
      </c>
      <c r="B6" s="11" t="inlineStr">
        <is>
          <t>教室に机だけが現れました。机の天板に直接書くと、机が片付けられたとき文字も消えます。</t>
        </is>
      </c>
      <c r="C6" s="11" t="inlineStr">
        <is>
          <t>EC2のインスタンスストア。インスタンスを止めると、その中のディスクは消えます。</t>
        </is>
      </c>
      <c r="D6" s="11" t="inlineStr">
        <is>
          <t>バッチのログを天板に書くと、サーバを入れ替えたときに追えないことがあります。</t>
        </is>
      </c>
    </row>
    <row r="7" ht="72" customHeight="1">
      <c r="A7" s="12" t="inlineStr">
        <is>
          <t>2008年、外せるノート</t>
        </is>
      </c>
      <c r="B7" s="13" t="inlineStr">
        <is>
          <t>ノートを机に挿せるようになりました。机を替えてもノートは残ります。ただしそのノートは、同じ校舎の中で守られます。別の校舎へは、写しを取る必要があります。</t>
        </is>
      </c>
      <c r="C7" s="13" t="inlineStr">
        <is>
          <t>2008年8月20日のAmazon EBS。AZの中で複製されるブロックディスクです。OSからは普通のディスクに見えます。</t>
        </is>
      </c>
      <c r="D7" s="13" t="inlineStr">
        <is>
          <t>1台のバッチサーバのログと下書きは、このノートで足ります。</t>
        </is>
      </c>
    </row>
    <row r="8" ht="72" customHeight="1">
      <c r="A8" s="10" t="inlineStr">
        <is>
          <t>速いノートと、大きさで速さが決まった時代</t>
        </is>
      </c>
      <c r="B8" s="11" t="inlineStr">
        <is>
          <t>最初のノートは硬くてムラがありました。その後、厚くするほど速くなるノートが出ました。人々は速さのために、使わないページまで買いました。</t>
        </is>
      </c>
      <c r="C8" s="11" t="inlineStr">
        <is>
          <t>2012年のプロビジョンドIOPS（io1、SSD）。2014年6月のgp2は容量1GiBあたり3 IOPSで、小さい巻はクレジットで短時間だけ速くなりました。</t>
        </is>
      </c>
      <c r="D8" s="11" t="inlineStr">
        <is>
          <t>ログ用に巨大なディスクを買う必要は、今はありません。</t>
        </is>
      </c>
    </row>
    <row r="9" ht="72" customHeight="1">
      <c r="A9" s="12" t="inlineStr">
        <is>
          <t>2020年、ページ数と速さを別々に買う</t>
        </is>
      </c>
      <c r="B9" s="13" t="inlineStr">
        <is>
          <t>ノートの厚さ、1秒に書ける回数、1秒に流せる量を、別々に指定できるようになりました。薄いノートでも、最初から一定の速さが付きます。</t>
        </is>
      </c>
      <c r="C9" s="13" t="inlineStr">
        <is>
          <t>2020年12月1日のgp3。3,000 IOPSと125MiB/sが容量に関係なく含まれます。2025年10月には1巻あたり最大64TiB、80,000 IOPS、2,000MiB/sまで拡張されています。</t>
        </is>
      </c>
      <c r="D9" s="13" t="inlineStr">
        <is>
          <t>今回の初期値は、含まれる3,000 IOPSと125MiB/sで始め、測ってから足します。</t>
        </is>
      </c>
    </row>
    <row r="10" ht="72" customHeight="1">
      <c r="A10" s="10" t="inlineStr">
        <is>
          <t>2016年、廊下の共用棚</t>
        </is>
      </c>
      <c r="B10" s="11" t="inlineStr">
        <is>
          <t>どの教室からも同じ紙を出し入れできる棚ができました。紙は複数の校舎に複製されます。棚まで歩く時間が、机のノートより長くなります。</t>
        </is>
      </c>
      <c r="C10" s="11" t="inlineStr">
        <is>
          <t>Amazon EFS。2015年のre:Inventで予告され、2016年6月29日に一般提供。NFSv4の共有ファイルシステムです。</t>
        </is>
      </c>
      <c r="D10" s="11" t="inlineStr">
        <is>
          <t>AWS Batchのように計算係が何台も生まれては消えるとき、この棚が意味を持ちます。</t>
        </is>
      </c>
    </row>
    <row r="11" ht="72" customHeight="1">
      <c r="A11" s="12" t="inlineStr">
        <is>
          <t>Batchをやめたあとの教室</t>
        </is>
      </c>
      <c r="B11" s="13" t="inlineStr">
        <is>
          <t>当初は、計算係が大量に出たり入ったりする運動会（AWS Batch）の予定でした。道具の改修が間に合わず、いつもの教室で58人が計算することになりました。</t>
        </is>
      </c>
      <c r="C11" s="13" t="inlineStr">
        <is>
          <t>ジョブをコンテナに分け、入力と出力を共有する前提が、今回は成立していません。JVMは1台のOSの上に並びます。</t>
        </is>
      </c>
      <c r="D11" s="13" t="inlineStr">
        <is>
          <t>共有棚を選ぶ理由だった『台がたくさんある』が、いったん消えました。</t>
        </is>
      </c>
    </row>
    <row r="12" ht="72" customHeight="1">
      <c r="A12" s="10" t="inlineStr">
        <is>
          <t>58人が同時に1行書く</t>
        </is>
      </c>
      <c r="B12" s="11" t="inlineStr">
        <is>
          <t>共用棚の窓口で、短い行を1行ずつ預けます。窓口の人は1回ごとに台帳へ記帳します。行が短くても、記帳の手間はほぼ同じです。</t>
        </is>
      </c>
      <c r="C12" s="11" t="inlineStr">
        <is>
          <t>EFSのElastic Throughputは、データの読み書きを最低32KiB、メタデータを最低4KiBとして数えます。性能上限側の勘定でも、NFS要求は最低4KBです。</t>
        </is>
      </c>
      <c r="D12" s="11" t="inlineStr">
        <is>
          <t>ログを1行ごとに届ける設定だと、実データの何倍も『運んだ量』として数えられます。</t>
        </is>
      </c>
    </row>
    <row r="13" ht="72" customHeight="1">
      <c r="A13" s="12" t="inlineStr">
        <is>
          <t>頭がいっぱいの計算</t>
        </is>
      </c>
      <c r="B13" s="13" t="inlineStr">
        <is>
          <t>計算で机がいっぱいのとき、廊下を往復する係を増やすと、計算の人が立って待つか、頭を分け与えます。</t>
        </is>
      </c>
      <c r="C13" s="13" t="inlineStr">
        <is>
          <t>EFSはVPCのネットワークを通ります。転送中暗号化はインスタンス側のCPUを使います。EBSの保管時暗号化はNitro側で、ゲストCPUをほとんど使いません。</t>
        </is>
      </c>
      <c r="D13" s="13" t="inlineStr">
        <is>
          <t>ITはCPU 90%超です。往復と暗号化を足す余白が小さいです。</t>
        </is>
      </c>
    </row>
    <row r="14" ht="24" customHeight="1">
      <c r="A14" s="6" t="inlineStr">
        <is>
          <t>たとえと用語の対応</t>
        </is>
      </c>
      <c r="B14" s="6" t="n"/>
      <c r="C14" s="6" t="n"/>
      <c r="D14" s="6" t="n"/>
    </row>
    <row r="15" ht="32" customHeight="1">
      <c r="A15" s="7" t="inlineStr">
        <is>
          <t>たとえの言葉</t>
        </is>
      </c>
      <c r="B15" s="7" t="inlineStr">
        <is>
          <t>AWSの言葉</t>
        </is>
      </c>
      <c r="C15" s="7" t="inlineStr">
        <is>
          <t>単位の感覚</t>
        </is>
      </c>
      <c r="D15" s="7" t="inlineStr">
        <is>
          <t>今回の判断への効き目</t>
        </is>
      </c>
    </row>
    <row r="16" ht="36" customHeight="1">
      <c r="A16" s="10" t="inlineStr">
        <is>
          <t>ノートの厚さ</t>
        </is>
      </c>
      <c r="B16" s="11" t="inlineStr">
        <is>
          <t>容量（GiB）</t>
        </is>
      </c>
      <c r="C16" s="11" t="inlineStr">
        <is>
          <t>ログが何日分入るか</t>
        </is>
      </c>
      <c r="D16" s="11" t="inlineStr">
        <is>
          <t>EBSは確保した分の月額。EFS Standardは使った分の月額で、単価が約3.75倍。</t>
        </is>
      </c>
    </row>
    <row r="17" ht="36" customHeight="1">
      <c r="A17" s="12" t="inlineStr">
        <is>
          <t>1秒に書ける回数</t>
        </is>
      </c>
      <c r="B17" s="13" t="inlineStr">
        <is>
          <t>IOPS</t>
        </is>
      </c>
      <c r="C17" s="13" t="inlineStr">
        <is>
          <t>小さい読み書きが1秒に何回か</t>
        </is>
      </c>
      <c r="D17" s="13" t="inlineStr">
        <is>
          <t>ファイルをたくさん作る一時領域で先に尽きます。</t>
        </is>
      </c>
    </row>
    <row r="18" ht="36" customHeight="1">
      <c r="A18" s="10" t="inlineStr">
        <is>
          <t>1秒に流せる量</t>
        </is>
      </c>
      <c r="B18" s="11" t="inlineStr">
        <is>
          <t>スループット（MiB/s）</t>
        </is>
      </c>
      <c r="C18" s="11" t="inlineStr">
        <is>
          <t>大きなファイルをどの速さで読めるか</t>
        </is>
      </c>
      <c r="D18" s="11" t="inlineStr">
        <is>
          <t>大きな中間ファイルで先に尽きます。</t>
        </is>
      </c>
    </row>
    <row r="19" ht="36" customHeight="1">
      <c r="A19" s="12" t="inlineStr">
        <is>
          <t>手を伸ばして届くまでの時間</t>
        </is>
      </c>
      <c r="B19" s="13" t="inlineStr">
        <is>
          <t>レイテンシ</t>
        </is>
      </c>
      <c r="C19" s="13" t="inlineStr">
        <is>
          <t>EBSは1ミリ秒未満が通常。EFS Regionalの最良は読約1ms、書約2.7ms</t>
        </is>
      </c>
      <c r="D19" s="13" t="inlineStr">
        <is>
          <t>同期ログは、この待ちが処理時間に足されます。</t>
        </is>
      </c>
    </row>
    <row r="20" ht="36" customHeight="1">
      <c r="A20" s="10" t="inlineStr">
        <is>
          <t>台帳への記帳</t>
        </is>
      </c>
      <c r="B20" s="11" t="inlineStr">
        <is>
          <t>メタデータ操作</t>
        </is>
      </c>
      <c r="C20" s="11" t="inlineStr">
        <is>
          <t>作成、改名、削除、属性取得</t>
        </is>
      </c>
      <c r="D20" s="11" t="inlineStr">
        <is>
          <t>ログのローテーションと一時ファイルの作り捨ては、ここが本体です。</t>
        </is>
      </c>
    </row>
    <row r="21" ht="36" customHeight="1">
      <c r="A21" s="12" t="inlineStr">
        <is>
          <t>専用の廊下</t>
        </is>
      </c>
      <c r="B21" s="13" t="inlineStr">
        <is>
          <t>EBS最適化帯域</t>
        </is>
      </c>
      <c r="C21" s="13" t="inlineStr">
        <is>
          <t>VPCの通信とは別枠</t>
        </is>
      </c>
      <c r="D21" s="13" t="inlineStr">
        <is>
          <t>DBやAPIの通信と、ログ書き込みがぶつかりません。</t>
        </is>
      </c>
    </row>
    <row r="22" ht="36" customHeight="1">
      <c r="A22" s="10" t="inlineStr">
        <is>
          <t>みんなの廊下</t>
        </is>
      </c>
      <c r="B22" s="11" t="inlineStr">
        <is>
          <t>インスタンスのネットワーク帯域</t>
        </is>
      </c>
      <c r="C22" s="11" t="inlineStr">
        <is>
          <t>EFS、S3、DB、APIが同じ枠</t>
        </is>
      </c>
      <c r="D22" s="11" t="inlineStr">
        <is>
          <t>c7a.2xlargeの常時枠は3.125Gbpsです。12.5はバーストです。</t>
        </is>
      </c>
    </row>
    <row r="23" ht="36" customHeight="1">
      <c r="A23" s="12" t="inlineStr">
        <is>
          <t>複数の校舎に複製</t>
        </is>
      </c>
      <c r="B23" s="13" t="inlineStr">
        <is>
          <t>EFS Regionalの複数AZ</t>
        </is>
      </c>
      <c r="C23" s="13" t="inlineStr">
        <is>
          <t>11ナインの耐久性設計、可用性SLA 99.99%</t>
        </is>
      </c>
      <c r="D23" s="13" t="inlineStr">
        <is>
          <t>計算係のEC2自体は1つのAZにいます。サーバが止まるとバッチは止まります。</t>
        </is>
      </c>
    </row>
    <row r="24" ht="36" customHeight="1">
      <c r="A24" s="10" t="inlineStr">
        <is>
          <t>同じ校舎の中の複製</t>
        </is>
      </c>
      <c r="B24" s="11" t="inlineStr">
        <is>
          <t>EBSのAZ内複製</t>
        </is>
      </c>
      <c r="C24" s="11" t="inlineStr">
        <is>
          <t>gp3の耐久性は99.8%から99.9%（年間故障率0.1%から0.2%）</t>
        </is>
      </c>
      <c r="D24" s="11" t="inlineStr">
        <is>
          <t>下書きと短期間のログには足ります。長く残すログは外へ転送します。</t>
        </is>
      </c>
    </row>
  </sheetData>
  <mergeCells count="4">
    <mergeCell ref="A1:D1"/>
    <mergeCell ref="A14:D14"/>
    <mergeCell ref="A4:D4"/>
    <mergeCell ref="A2:D2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01 たとえ&amp;C&amp;R&amp;"Meiryo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30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34" customWidth="1" min="1" max="1"/>
    <col width="38" customWidth="1" min="2" max="2"/>
    <col width="38" customWidth="1" min="3" max="3"/>
    <col width="48" customWidth="1" min="4" max="4"/>
  </cols>
  <sheetData>
    <row r="1" ht="32" customHeight="1">
      <c r="A1" s="14" t="inlineStr">
        <is>
          <t>今回のサーバで、ディスクより先に細い場所</t>
        </is>
      </c>
      <c r="B1" s="15" t="n"/>
      <c r="C1" s="15" t="n"/>
      <c r="D1" s="15" t="n"/>
    </row>
    <row r="2" ht="28" customHeight="1">
      <c r="A2" s="3" t="inlineStr">
        <is>
          <t>本番32vCPUは、c7aのままなら c7a.8xlarge と読む。別タイプでも、判断の軸は同じです。インスタンスストアはc7aにはありません。</t>
        </is>
      </c>
      <c r="B2" s="4" t="n"/>
      <c r="C2" s="4" t="n"/>
      <c r="D2" s="4" t="n"/>
    </row>
    <row r="3">
      <c r="A3" s="5" t="n"/>
      <c r="B3" s="5" t="n"/>
      <c r="C3" s="5" t="n"/>
      <c r="D3" s="5" t="n"/>
    </row>
    <row r="4" ht="24" customHeight="1">
      <c r="A4" s="6" t="inlineStr">
        <is>
          <t>読み取った条件</t>
        </is>
      </c>
      <c r="B4" s="6" t="n"/>
      <c r="C4" s="6" t="n"/>
      <c r="D4" s="6" t="n"/>
    </row>
    <row r="5" ht="32" customHeight="1">
      <c r="A5" s="7" t="inlineStr">
        <is>
          <t>項目</t>
        </is>
      </c>
      <c r="B5" s="7" t="inlineStr">
        <is>
          <t>IT</t>
        </is>
      </c>
      <c r="C5" s="7" t="inlineStr">
        <is>
          <t>本番</t>
        </is>
      </c>
      <c r="D5" s="7" t="inlineStr">
        <is>
          <t>この資料での扱い</t>
        </is>
      </c>
    </row>
    <row r="6" ht="48" customHeight="1">
      <c r="A6" s="10" t="inlineStr">
        <is>
          <t>インスタンス</t>
        </is>
      </c>
      <c r="B6" s="11" t="inlineStr">
        <is>
          <t>c7a.2xlarge と一致する</t>
        </is>
      </c>
      <c r="C6" s="11" t="inlineStr">
        <is>
          <t>32vCPU。c7aなら c7a.8xlarge</t>
        </is>
      </c>
      <c r="D6" s="11" t="inlineStr">
        <is>
          <t>ITは記載どおり。本番タイプはvCPU数からの推定であり、確定値ではありません。</t>
        </is>
      </c>
    </row>
    <row r="7" ht="48" customHeight="1">
      <c r="A7" s="12" t="inlineStr">
        <is>
          <t>CPU</t>
        </is>
      </c>
      <c r="B7" s="13" t="inlineStr">
        <is>
          <t>8 vCPU、AMD EPYC 9R14、x86_64</t>
        </is>
      </c>
      <c r="C7" s="13" t="inlineStr">
        <is>
          <t>32 vCPU</t>
        </is>
      </c>
      <c r="D7" s="13" t="inlineStr">
        <is>
          <t>c7aは1 vCPUが1物理コアです。隠れている同時マルチスレッドの余白はありません。</t>
        </is>
      </c>
    </row>
    <row r="8" ht="48" customHeight="1">
      <c r="A8" s="10" t="inlineStr">
        <is>
          <t>メモリ</t>
        </is>
      </c>
      <c r="B8" s="11" t="inlineStr">
        <is>
          <t>16 GiB</t>
        </is>
      </c>
      <c r="C8" s="11" t="inlineStr">
        <is>
          <t>c7a.8xlargeなら 64 GiB</t>
        </is>
      </c>
      <c r="D8" s="11" t="inlineStr">
        <is>
          <t>ITは1JVMあたり約1.6GiB、本番は約1.1GiB。どちらもOSを含みます。ページキャッシュは厚くなりません。</t>
        </is>
      </c>
    </row>
    <row r="9" ht="48" customHeight="1">
      <c r="A9" s="12" t="inlineStr">
        <is>
          <t>JVM</t>
        </is>
      </c>
      <c r="B9" s="13" t="inlineStr">
        <is>
          <t>10</t>
        </is>
      </c>
      <c r="C9" s="13" t="inlineStr">
        <is>
          <t>58</t>
        </is>
      </c>
      <c r="D9" s="13" t="inlineStr">
        <is>
          <t>1JVMが1vCPUを使い切る、という観測が前提です。</t>
        </is>
      </c>
    </row>
    <row r="10" ht="48" customHeight="1">
      <c r="A10" s="10" t="inlineStr">
        <is>
          <t>多重度</t>
        </is>
      </c>
      <c r="B10" s="11" t="inlineStr">
        <is>
          <t>10マルチ</t>
        </is>
      </c>
      <c r="C10" s="11" t="inlineStr">
        <is>
          <t>32マルチ</t>
        </is>
      </c>
      <c r="D10" s="11" t="inlineStr">
        <is>
          <t>同時に計算する本数が、ITはvCPUより2本多く、本番はvCPUと同じ、と読みます。</t>
        </is>
      </c>
    </row>
    <row r="11" ht="48" customHeight="1">
      <c r="A11" s="12" t="inlineStr">
        <is>
          <t>CPU使用率</t>
        </is>
      </c>
      <c r="B11" s="13" t="inlineStr">
        <is>
          <t>90%超</t>
        </is>
      </c>
      <c r="C11" s="13" t="inlineStr">
        <is>
          <t>記載なし</t>
        </is>
      </c>
      <c r="D11" s="13" t="inlineStr">
        <is>
          <t>本番も同時実行が32本なら、OS、GC、ログ転送に渡す空きは小さい、と見て設計します。</t>
        </is>
      </c>
    </row>
    <row r="12" ht="48" customHeight="1">
      <c r="A12" s="10" t="inlineStr">
        <is>
          <t>ネットワーク</t>
        </is>
      </c>
      <c r="B12" s="11" t="inlineStr">
        <is>
          <t>ベースライン 3.125 Gbps。最大 12.5 Gbps はベストエフォート</t>
        </is>
      </c>
      <c r="C12" s="11" t="inlineStr">
        <is>
          <t>12.5 Gbps を継続</t>
        </is>
      </c>
      <c r="D12" s="11" t="inlineStr">
        <is>
          <t>カタログの Up to 12.5 は、2xlargeでは常時の太さではありません。</t>
        </is>
      </c>
    </row>
    <row r="13" ht="48" customHeight="1">
      <c r="A13" s="12" t="inlineStr">
        <is>
          <t>EBSの通り道</t>
        </is>
      </c>
      <c r="B13" s="13" t="inlineStr">
        <is>
          <t>常時 2,500 Mbps、312.5 MB/s、12,000 IOPS。最大は30分まで 10 Gbps、1,250 MB/s、40,000 IOPS</t>
        </is>
      </c>
      <c r="C13" s="13" t="inlineStr">
        <is>
          <t>10 Gbps、1,250 MB/s、40,000 IOPS を継続</t>
        </is>
      </c>
      <c r="D13" s="13" t="inlineStr">
        <is>
          <t>長いバッチは、2xlargeでは最大値ではなく常時値で見ます。</t>
        </is>
      </c>
    </row>
    <row r="14" ht="48" customHeight="1">
      <c r="A14" s="10" t="inlineStr">
        <is>
          <t>ローカルNVMe</t>
        </is>
      </c>
      <c r="B14" s="11" t="inlineStr">
        <is>
          <t>なし。EBS only</t>
        </is>
      </c>
      <c r="C14" s="11" t="inlineStr">
        <is>
          <t>c7a.8xlargeも EBS only</t>
        </is>
      </c>
      <c r="D14" s="11" t="inlineStr">
        <is>
          <t>一時領域をインスタンスストアには置けません。置くなら別ファミリーへの変更が必要です。</t>
        </is>
      </c>
    </row>
    <row r="15" ht="48" customHeight="1">
      <c r="A15" s="12" t="inlineStr">
        <is>
          <t>ディスクの役割</t>
        </is>
      </c>
      <c r="B15" s="13" t="inlineStr">
        <is>
          <t>ログの書き出しと、一時領域</t>
        </is>
      </c>
      <c r="C15" s="13" t="inlineStr">
        <is>
          <t>同じ</t>
        </is>
      </c>
      <c r="D15" s="13" t="inlineStr">
        <is>
          <t>アプリ本体の配置場所は今回の選定の外です。ルートとは分けます。</t>
        </is>
      </c>
    </row>
    <row r="16" ht="48" customHeight="1">
      <c r="A16" s="10" t="inlineStr">
        <is>
          <t>当初の方式</t>
        </is>
      </c>
      <c r="B16" s="11" t="inlineStr">
        <is>
          <t>AWS Batchを想定</t>
        </is>
      </c>
      <c r="C16" s="11" t="inlineStr">
        <is>
          <t>改修が間に合わずEC2で実行</t>
        </is>
      </c>
      <c r="D16" s="11" t="inlineStr">
        <is>
          <t>Batchでは計算ノードが複数になり、共有ファイルの理由が生まれます。EC2に戻ると、その理由が一度消えます。</t>
        </is>
      </c>
    </row>
    <row r="17" ht="24" customHeight="1">
      <c r="A17" s="6" t="inlineStr">
        <is>
          <t>CPUの埋まり方</t>
        </is>
      </c>
      <c r="B17" s="6" t="n"/>
      <c r="C17" s="6" t="n"/>
      <c r="D17" s="6" t="n"/>
    </row>
    <row r="18" ht="32" customHeight="1">
      <c r="A18" s="7" t="inlineStr">
        <is>
          <t>見方</t>
        </is>
      </c>
      <c r="B18" s="7" t="inlineStr">
        <is>
          <t>計算</t>
        </is>
      </c>
      <c r="C18" s="7" t="inlineStr">
        <is>
          <t>意味</t>
        </is>
      </c>
      <c r="D18" s="7" t="inlineStr">
        <is>
          <t>ディスク選定への影響</t>
        </is>
      </c>
    </row>
    <row r="19" ht="44" customHeight="1">
      <c r="A19" s="8" t="inlineStr">
        <is>
          <t>ITの本数</t>
        </is>
      </c>
      <c r="B19" s="9" t="inlineStr">
        <is>
          <t>10 JVM / 8 vCPU = 1.25</t>
        </is>
      </c>
      <c r="C19" s="9" t="inlineStr">
        <is>
          <t>全員が1コアを欲しいとき、コアが2本足りません。観測の90%超と整合します。</t>
        </is>
      </c>
      <c r="D19" s="9" t="inlineStr">
        <is>
          <t>NFSとTLSのCPUを足す場所がありません。</t>
        </is>
      </c>
    </row>
    <row r="20" ht="44" customHeight="1">
      <c r="A20" s="12" t="inlineStr">
        <is>
          <t>本番の常駐</t>
        </is>
      </c>
      <c r="B20" s="13" t="inlineStr">
        <is>
          <t>58 JVM / 32 vCPU = 1.81</t>
        </is>
      </c>
      <c r="C20" s="13" t="inlineStr">
        <is>
          <t>プロセスの数はコアより多いです。待機中のJVMも含みます。</t>
        </is>
      </c>
      <c r="D20" s="13" t="inlineStr">
        <is>
          <t>常駐しているだけではディスク方式は決まりません。</t>
        </is>
      </c>
    </row>
    <row r="21" ht="44" customHeight="1">
      <c r="A21" s="8" t="inlineStr">
        <is>
          <t>本番の同時実行</t>
        </is>
      </c>
      <c r="B21" s="9" t="inlineStr">
        <is>
          <t>32マルチ / 32 vCPU = 1.00</t>
        </is>
      </c>
      <c r="C21" s="9" t="inlineStr">
        <is>
          <t>ピークではコアと計算が1対1です。</t>
        </is>
      </c>
      <c r="D21" s="9" t="inlineStr">
        <is>
          <t>ピーク中の追加CPUは、計算の遅延になります。</t>
        </is>
      </c>
    </row>
    <row r="22" ht="44" customHeight="1">
      <c r="A22" s="12" t="inlineStr">
        <is>
          <t>メモリ IT</t>
        </is>
      </c>
      <c r="B22" s="13" t="inlineStr">
        <is>
          <t>16 GiB / 10 JVM = 1.6 GiB</t>
        </is>
      </c>
      <c r="C22" s="13" t="inlineStr">
        <is>
          <t>OSとエージェントを引くと、ヒープはさらに小さいです。</t>
        </is>
      </c>
      <c r="D22" s="13" t="inlineStr">
        <is>
          <t>キャッシュが薄いので、ディスクの遅延がJVMから見えます。</t>
        </is>
      </c>
    </row>
    <row r="23" ht="44" customHeight="1">
      <c r="A23" s="10" t="inlineStr">
        <is>
          <t>メモリ 本番推定</t>
        </is>
      </c>
      <c r="B23" s="11" t="inlineStr">
        <is>
          <t>64 GiB / 58 JVM ≒ 1.10 GiB</t>
        </is>
      </c>
      <c r="C23" s="11" t="inlineStr">
        <is>
          <t>c7a.8xlargeと仮定した値です。</t>
        </is>
      </c>
      <c r="D23" s="11" t="inlineStr">
        <is>
          <t>同じ理由で、EFSのミリ秒が隠れません。ヒープサイズの実測が必要です。</t>
        </is>
      </c>
    </row>
    <row r="24" ht="24" customHeight="1">
      <c r="A24" s="6" t="inlineStr">
        <is>
          <t>まだ確定していないこと</t>
        </is>
      </c>
      <c r="B24" s="6" t="n"/>
      <c r="C24" s="6" t="n"/>
      <c r="D24" s="6" t="n"/>
    </row>
    <row r="25" ht="32" customHeight="1">
      <c r="A25" s="7" t="inlineStr">
        <is>
          <t>未確定</t>
        </is>
      </c>
      <c r="B25" s="7" t="inlineStr">
        <is>
          <t>あると精度が上がる理由</t>
        </is>
      </c>
      <c r="C25" s="7" t="inlineStr">
        <is>
          <t>仮に置いた値</t>
        </is>
      </c>
      <c r="D25" s="7" t="inlineStr">
        <is>
          <t>仮が外れても結論が変わる条件</t>
        </is>
      </c>
    </row>
    <row r="26" ht="40" customHeight="1">
      <c r="A26" s="10" t="inlineStr">
        <is>
          <t>本番の実インスタンスタイプ</t>
        </is>
      </c>
      <c r="B26" s="11" t="inlineStr">
        <is>
          <t>帯域がバーストか固定かが決まります。</t>
        </is>
      </c>
      <c r="C26" s="11" t="inlineStr">
        <is>
          <t>c7a.8xlarge</t>
        </is>
      </c>
      <c r="D26" s="11" t="inlineStr">
        <is>
          <t>32vCPU級の固定帯域でも、ログと一時領域の結論はEBSのままです。</t>
        </is>
      </c>
    </row>
    <row r="27" ht="40" customHeight="1">
      <c r="A27" s="12" t="inlineStr">
        <is>
          <t>ログの実量と、1回の書き込みサイズ</t>
        </is>
      </c>
      <c r="B27" s="13" t="inlineStr">
        <is>
          <t>EFS料金の桁が変わります。</t>
        </is>
      </c>
      <c r="C27" s="13" t="inlineStr">
        <is>
          <t>コストシートの入力例</t>
        </is>
      </c>
      <c r="D27" s="13" t="inlineStr">
        <is>
          <t>大きい順次書き込みだけなら料金差は縮みます。遅延とCPUの不利は残ります。</t>
        </is>
      </c>
    </row>
    <row r="28" ht="40" customHeight="1">
      <c r="A28" s="10" t="inlineStr">
        <is>
          <t>一時ファイルの寿命と個数</t>
        </is>
      </c>
      <c r="B28" s="11" t="inlineStr">
        <is>
          <t>メタデータ回数が見えます。</t>
        </is>
      </c>
      <c r="C28" s="11" t="inlineStr">
        <is>
          <t>作成と削除が多い、と仮定</t>
        </is>
      </c>
      <c r="D28" s="11" t="inlineStr">
        <is>
          <t>巨大ファイルを数本だけ置く形なら、EFSの不利は小さくなります。共有が不要なら、それでもEBSが単純です。</t>
        </is>
      </c>
    </row>
    <row r="29" ht="40" customHeight="1">
      <c r="A29" s="12" t="inlineStr">
        <is>
          <t>複数台構成か</t>
        </is>
      </c>
      <c r="B29" s="13" t="inlineStr">
        <is>
          <t>共有の必要性そのものが決まります。</t>
        </is>
      </c>
      <c r="C29" s="13" t="inlineStr">
        <is>
          <t>本番は32vCPUの1系統、と第一に読む</t>
        </is>
      </c>
      <c r="D29" s="13" t="inlineStr">
        <is>
          <t>複数台で同じ一時ファイルを同時に使う要件が本物なら、そのディレクトリだけEFSを再検討します。</t>
        </is>
      </c>
    </row>
    <row r="30" ht="40" customHeight="1">
      <c r="A30" s="10" t="inlineStr">
        <is>
          <t>ログの同期か非同期か</t>
        </is>
      </c>
      <c r="B30" s="11" t="inlineStr">
        <is>
          <t>待ち時間が処理時間に入るかが決まります。</t>
        </is>
      </c>
      <c r="C30" s="11" t="inlineStr">
        <is>
          <t>同期フラッシュがあり得る、として最悪を見る</t>
        </is>
      </c>
      <c r="D30" s="11" t="inlineStr">
        <is>
          <t>完全に非同期でも、フラッシュ時とCPUと料金は残ります。</t>
        </is>
      </c>
    </row>
  </sheetData>
  <mergeCells count="5">
    <mergeCell ref="A1:D1"/>
    <mergeCell ref="A17:D17"/>
    <mergeCell ref="A4:D4"/>
    <mergeCell ref="A24:D24"/>
    <mergeCell ref="A2:D2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02 今回のサーバ&amp;C&amp;R&amp;"Meiryo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2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2" customWidth="1" min="1" max="1"/>
    <col width="28" customWidth="1" min="2" max="2"/>
    <col width="55" customWidth="1" min="3" max="3"/>
    <col width="50" customWidth="1" min="4" max="4"/>
  </cols>
  <sheetData>
    <row r="1" ht="32" customHeight="1">
      <c r="A1" s="14" t="inlineStr">
        <is>
          <t>二つのディスクは、別の困りごとを解くために生まれた</t>
        </is>
      </c>
      <c r="B1" s="15" t="n"/>
      <c r="C1" s="15" t="n"/>
      <c r="D1" s="15" t="n"/>
    </row>
    <row r="2" ht="24" customHeight="1">
      <c r="A2" s="3" t="inlineStr">
        <is>
          <t>EFSはEBSの改良版ではありません。共有できなかった、という別の穴を埋める製品です。</t>
        </is>
      </c>
      <c r="B2" s="4" t="n"/>
      <c r="C2" s="4" t="n"/>
      <c r="D2" s="4" t="n"/>
    </row>
    <row r="3">
      <c r="A3" s="5" t="n"/>
      <c r="B3" s="5" t="n"/>
      <c r="C3" s="5" t="n"/>
      <c r="D3" s="5" t="n"/>
    </row>
    <row r="4" ht="24" customHeight="1">
      <c r="A4" s="6" t="inlineStr">
        <is>
          <t>年表</t>
        </is>
      </c>
      <c r="B4" s="6" t="n"/>
      <c r="C4" s="6" t="n"/>
      <c r="D4" s="6" t="n"/>
    </row>
    <row r="5" ht="32" customHeight="1">
      <c r="A5" s="7" t="inlineStr">
        <is>
          <t>時期</t>
        </is>
      </c>
      <c r="B5" s="7" t="inlineStr">
        <is>
          <t>何が生まれたか</t>
        </is>
      </c>
      <c r="C5" s="7" t="inlineStr">
        <is>
          <t>そのとき困っていたこと</t>
        </is>
      </c>
      <c r="D5" s="7" t="inlineStr">
        <is>
          <t>今回のバッチとの距離</t>
        </is>
      </c>
    </row>
    <row r="6" ht="58" customHeight="1">
      <c r="A6" s="10" t="inlineStr">
        <is>
          <t>2006年</t>
        </is>
      </c>
      <c r="B6" s="11" t="inlineStr">
        <is>
          <t>Amazon EC2</t>
        </is>
      </c>
      <c r="C6" s="11" t="inlineStr">
        <is>
          <t>コンピュータを必要なときだけ使う仕組みができた。ディスクは物理ホストの中にあり、インスタンスが消えるとデータも消えた。</t>
        </is>
      </c>
      <c r="D6" s="11" t="inlineStr">
        <is>
          <t>ログと途中結果を、計算係の寿命に縛りたくない、という要求の出発点です。</t>
        </is>
      </c>
    </row>
    <row r="7" ht="58" customHeight="1">
      <c r="A7" s="12" t="inlineStr">
        <is>
          <t>2008-08-20</t>
        </is>
      </c>
      <c r="B7" s="13" t="inlineStr">
        <is>
          <t>Amazon EBS</t>
        </is>
      </c>
      <c r="C7" s="13" t="inlineStr">
        <is>
          <t>インスタンスから切り離しても残るディスクが必要になった。ネットワークの向こうのブロックデバイスとして提供された。初期はHDDで、最大1TB、性能保証はなかった。</t>
        </is>
      </c>
      <c r="D7" s="13" t="inlineStr">
        <is>
          <t>1台のサーバに『普通のディスク』を足す、という今の要件の直接の祖先です。</t>
        </is>
      </c>
    </row>
    <row r="8" ht="58" customHeight="1">
      <c r="A8" s="10" t="inlineStr">
        <is>
          <t>2012年8月</t>
        </is>
      </c>
      <c r="B8" s="11" t="inlineStr">
        <is>
          <t>プロビジョンドIOPS（のちのio1）とSSD</t>
        </is>
      </c>
      <c r="C8" s="11" t="inlineStr">
        <is>
          <t>HDDでは遅延が安定しない。必要なIOPSを指定して買いたい、という声に応えた。EBS最適化インスタンスで、ディスク用の帯域を他の通信から分け始めた。</t>
        </is>
      </c>
      <c r="D8" s="11" t="inlineStr">
        <is>
          <t>ディスク通信と業務通信を混ぜない、という考えはここから本流です。</t>
        </is>
      </c>
    </row>
    <row r="9" ht="58" customHeight="1">
      <c r="A9" s="12" t="inlineStr">
        <is>
          <t>2014-06-16</t>
        </is>
      </c>
      <c r="B9" s="13" t="inlineStr">
        <is>
          <t>General Purpose SSD（gp2）</t>
        </is>
      </c>
      <c r="C9" s="13" t="inlineStr">
        <is>
          <t>IOPSを毎回計算したくない。容量を決めると速さが付く製品が欲しかった。小さい巻はバーストクレジットで3,000 IOPSまで短時間出せるが、切れると基準まで落ちた。</t>
        </is>
      </c>
      <c r="D9" s="13" t="inlineStr">
        <is>
          <t>クレジットで速さが変わるディスクは、長いバッチと相性が悪い、という教訓です。</t>
        </is>
      </c>
    </row>
    <row r="10" ht="58" customHeight="1">
      <c r="A10" s="10" t="inlineStr">
        <is>
          <t>2015年</t>
        </is>
      </c>
      <c r="B10" s="11" t="inlineStr">
        <is>
          <t>EFSプレビュー（re:Invent）</t>
        </is>
      </c>
      <c r="C10" s="11" t="inlineStr">
        <is>
          <t>S3（オブジェクト）、EBS（ブロック）、Glacier（アーカイブ）のあと、共有ファイルが足りないと顧客が言った。</t>
        </is>
      </c>
      <c r="D10" s="11" t="inlineStr">
        <is>
          <t>『ファイルサーバを自分で立てずに、複数台で同じディレクトリを見たい』が誕生理由です。</t>
        </is>
      </c>
    </row>
    <row r="11" ht="58" customHeight="1">
      <c r="A11" s="12" t="inlineStr">
        <is>
          <t>2016-06-29</t>
        </is>
      </c>
      <c r="B11" s="13" t="inlineStr">
        <is>
          <t>EFS一般提供</t>
        </is>
      </c>
      <c r="C11" s="13" t="inlineStr">
        <is>
          <t>分析、大規模処理、Webのコンテンツのように、複数台から同じファイルを読む用途が最初の中心だった。その後、もっと遅延の短いメタデータ用途も求められた。</t>
        </is>
      </c>
      <c r="D11" s="13" t="inlineStr">
        <is>
          <t>生まれた目的は共有です。1台のログ置き場として生まれたわけではありません。</t>
        </is>
      </c>
    </row>
    <row r="12" ht="58" customHeight="1">
      <c r="A12" s="10" t="inlineStr">
        <is>
          <t>2016年12月</t>
        </is>
      </c>
      <c r="B12" s="11" t="inlineStr">
        <is>
          <t>AWS Batch発表</t>
        </is>
      </c>
      <c r="C12" s="11" t="inlineStr">
        <is>
          <t>ジョブをキューに入れ、必要な台数の計算ノードを自動で並べる仕組み。ノードは使い捨てに近い。ノード間でファイルを共有したくなる。</t>
        </is>
      </c>
      <c r="D12" s="11" t="inlineStr">
        <is>
          <t>当初案がEFSに傾くのは自然です。ノードが複数で、寿命が短いからです。</t>
        </is>
      </c>
    </row>
    <row r="13" ht="58" customHeight="1">
      <c r="A13" s="12" t="inlineStr">
        <is>
          <t>2017年前後</t>
        </is>
      </c>
      <c r="B13" s="13" t="inlineStr">
        <is>
          <t>Elastic Volumes、暗号化の一般化</t>
        </is>
      </c>
      <c r="C13" s="13" t="inlineStr">
        <is>
          <t>ディスクを止めずに容量や性能を変えたい、ボリュームごと暗号化したい、という運用要求。</t>
        </is>
      </c>
      <c r="D13" s="13" t="inlineStr">
        <is>
          <t>gp3の暗号化は追加料金なしで、Nitroが処理します。</t>
        </is>
      </c>
    </row>
    <row r="14" ht="58" customHeight="1">
      <c r="A14" s="10" t="inlineStr">
        <is>
          <t>2020-02</t>
        </is>
      </c>
      <c r="B14" s="11" t="inlineStr">
        <is>
          <t>io2。のちBlock Express</t>
        </is>
      </c>
      <c r="C14" s="11" t="inlineStr">
        <is>
          <t>より高い耐久性と、短い遅延、大きいIOPS。2025年4月30日以降、io2は新規も既存もBlock Expressです。16KiBの平均遅延500マイクロ秒未満が設計目標です。</t>
        </is>
      </c>
      <c r="D14" s="11" t="inlineStr">
        <is>
          <t>ログと一時領域には過剰です。単価もgp3より高いです。</t>
        </is>
      </c>
    </row>
    <row r="15" ht="58" customHeight="1">
      <c r="A15" s="12" t="inlineStr">
        <is>
          <t>2020-12-01</t>
        </is>
      </c>
      <c r="B15" s="13" t="inlineStr">
        <is>
          <t>gp3</t>
        </is>
      </c>
      <c r="C15" s="13" t="inlineStr">
        <is>
          <t>gp2は速さが欲しいだけなのに容量を買わせた。容量、IOPS、スループットを分離し、どの大きさでも3,000 IOPSと125MB/sを含め、GB単価をgp2より約20%下げた。</t>
        </is>
      </c>
      <c r="D15" s="13" t="inlineStr">
        <is>
          <t>今回の標準回答です。</t>
        </is>
      </c>
    </row>
    <row r="16" ht="58" customHeight="1">
      <c r="A16" s="10" t="inlineStr">
        <is>
          <t>2022年 re:Invent</t>
        </is>
      </c>
      <c r="B16" s="11" t="inlineStr">
        <is>
          <t>EFS Elastic Throughput</t>
        </is>
      </c>
      <c r="C16" s="11" t="inlineStr">
        <is>
          <t>バーストクレジットが小さいファイルシステムを不安定にしていた。使った分だけ自動で伸び、転送量で課金する方式が既定になった。</t>
        </is>
      </c>
      <c r="D16" s="11" t="inlineStr">
        <is>
          <t>性能の不安定は減りました。小さい書き込みの料金は読みにくくなりました。</t>
        </is>
      </c>
    </row>
    <row r="17" ht="58" customHeight="1">
      <c r="A17" s="12" t="inlineStr">
        <is>
          <t>2023年から2026年</t>
        </is>
      </c>
      <c r="B17" s="13" t="inlineStr">
        <is>
          <t>EFS General PurposeのIOPS拡張</t>
        </is>
      </c>
      <c r="C17" s="13" t="inlineStr">
        <is>
          <t>Max I/Oモードは遅延が大きい旧世代になり、AWSはGeneral Purposeを常に推奨しています。Elasticの既定は、よく使うデータの読み250,000 IOPS、書き50,000 IOPS。引き上げ上限はその10倍です。東京のファイルシステム全体は読み最大60GiBps、書き最大5GiBpsです。</t>
        </is>
      </c>
      <c r="D17" s="13" t="inlineStr">
        <is>
          <t>ファイルシステム全体は巨大です。1台のEC2から見た遅延と、1クライアントの上限は別問題です。</t>
        </is>
      </c>
    </row>
    <row r="18" ht="58" customHeight="1">
      <c r="A18" s="10" t="inlineStr">
        <is>
          <t>2025-10-14</t>
        </is>
      </c>
      <c r="B18" s="11" t="inlineStr">
        <is>
          <t>gp3の上限拡張</t>
        </is>
      </c>
      <c r="C18" s="11" t="inlineStr">
        <is>
          <t>1ボリューム 64TiB、80,000 IOPS、2,000MiB/s。</t>
        </is>
      </c>
      <c r="D18" s="11" t="inlineStr">
        <is>
          <t>今回のログと一時領域は、この上限の近くには行きません。</t>
        </is>
      </c>
    </row>
    <row r="19" ht="58" customHeight="1">
      <c r="A19" s="12" t="inlineStr">
        <is>
          <t>今回</t>
        </is>
      </c>
      <c r="B19" s="13" t="inlineStr">
        <is>
          <t>BatchからEC2常駐へ変更</t>
        </is>
      </c>
      <c r="C19" s="13" t="inlineStr">
        <is>
          <t>アプリケーションをBatch向けに分ける改修が間に合わない。</t>
        </is>
      </c>
      <c r="D19" s="13" t="inlineStr">
        <is>
          <t>共有棚が必要だった前提が消え、机のノートで足りる構成に戻りました。</t>
        </is>
      </c>
    </row>
    <row r="20" ht="24" customHeight="1">
      <c r="A20" s="6" t="inlineStr">
        <is>
          <t>歴史から残す一文</t>
        </is>
      </c>
      <c r="B20" s="6" t="n"/>
      <c r="C20" s="6" t="n"/>
      <c r="D20" s="6" t="n"/>
    </row>
    <row r="21" ht="32" customHeight="1">
      <c r="A21" s="7" t="inlineStr">
        <is>
          <t>残す判断</t>
        </is>
      </c>
      <c r="B21" s="7" t="inlineStr">
        <is>
          <t>根拠</t>
        </is>
      </c>
      <c r="C21" s="7" t="inlineStr">
        <is>
          <t>やらないこと</t>
        </is>
      </c>
      <c r="D21" s="7" t="inlineStr">
        <is>
          <t>将来</t>
        </is>
      </c>
    </row>
    <row r="22" ht="48" customHeight="1">
      <c r="A22" s="10" t="inlineStr">
        <is>
          <t>ログと一時領域はEBS gp3</t>
        </is>
      </c>
      <c r="B22" s="11" t="inlineStr">
        <is>
          <t>EBSは『1台のコンピュータのディスクを、コンピュータより長生きさせる』ために生まれた。要件と一致します。</t>
        </is>
      </c>
      <c r="C22" s="11" t="inlineStr">
        <is>
          <t>Batch案の名残で、共有しないファイルまでEFSに置かない。</t>
        </is>
      </c>
      <c r="D22" s="11" t="inlineStr">
        <is>
          <t>複数台の同時共有が本物の要件になったディレクトリだけ、EFSを開きます。</t>
        </is>
      </c>
    </row>
  </sheetData>
  <mergeCells count="4">
    <mergeCell ref="A1:D1"/>
    <mergeCell ref="A4:D4"/>
    <mergeCell ref="A20:D20"/>
    <mergeCell ref="A2:D2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03 歴史&amp;C&amp;R&amp;"Meiryo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4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2" customWidth="1" min="1" max="1"/>
    <col width="42" customWidth="1" min="2" max="2"/>
    <col width="42" customWidth="1" min="3" max="3"/>
    <col width="48" customWidth="1" min="4" max="4"/>
  </cols>
  <sheetData>
    <row r="1" ht="32" customHeight="1">
      <c r="A1" s="14" t="inlineStr">
        <is>
          <t>1回の書き込みが通る道</t>
        </is>
      </c>
      <c r="B1" s="15" t="n"/>
      <c r="C1" s="15" t="n"/>
      <c r="D1" s="15" t="n"/>
    </row>
    <row r="2" ht="26" customHeight="1">
      <c r="A2" s="3" t="inlineStr">
        <is>
          <t>EBSはディスクに見せる装置です。EFSは、ネットワーク越しのファイル係です。OSから見える形が違います。</t>
        </is>
      </c>
      <c r="B2" s="4" t="n"/>
      <c r="C2" s="4" t="n"/>
      <c r="D2" s="4" t="n"/>
    </row>
    <row r="3">
      <c r="A3" s="5" t="n"/>
      <c r="B3" s="5" t="n"/>
      <c r="C3" s="5" t="n"/>
      <c r="D3" s="5" t="n"/>
    </row>
    <row r="4" ht="24" customHeight="1">
      <c r="A4" s="6" t="inlineStr">
        <is>
          <t>EBSの道。机のノート</t>
        </is>
      </c>
      <c r="B4" s="6" t="n"/>
      <c r="C4" s="6" t="n"/>
      <c r="D4" s="6" t="n"/>
    </row>
    <row r="5" ht="32" customHeight="1">
      <c r="A5" s="7" t="inlineStr">
        <is>
          <t>順番</t>
        </is>
      </c>
      <c r="B5" s="7" t="inlineStr">
        <is>
          <t>どこで</t>
        </is>
      </c>
      <c r="C5" s="7" t="inlineStr">
        <is>
          <t>何が起きるか</t>
        </is>
      </c>
      <c r="D5" s="7" t="inlineStr">
        <is>
          <t>バッチから見えること</t>
        </is>
      </c>
    </row>
    <row r="6" ht="48" customHeight="1">
      <c r="A6" s="10" t="inlineStr">
        <is>
          <t>1</t>
        </is>
      </c>
      <c r="B6" s="11" t="inlineStr">
        <is>
          <t>JVM</t>
        </is>
      </c>
      <c r="C6" s="11" t="inlineStr">
        <is>
          <t>ログや一時ファイルへ write する。バッファがまとめると、システムコールの回数は減る。</t>
        </is>
      </c>
      <c r="D6" s="11" t="inlineStr">
        <is>
          <t>アプリは普通のファイルAPIのままです。</t>
        </is>
      </c>
    </row>
    <row r="7" ht="48" customHeight="1">
      <c r="A7" s="12" t="inlineStr">
        <is>
          <t>2</t>
        </is>
      </c>
      <c r="B7" s="13" t="inlineStr">
        <is>
          <t>Linuxのページキャッシュ</t>
        </is>
      </c>
      <c r="C7" s="13" t="inlineStr">
        <is>
          <t>すぐにはディスクへ出さず、メモリ上で隣の書き込みとくっつくことがある。</t>
        </is>
      </c>
      <c r="D7" s="13" t="inlineStr">
        <is>
          <t>メモリが薄いと、このまとめが小さくなり、ディスクの遅延がそのまま見えます。</t>
        </is>
      </c>
    </row>
    <row r="8" ht="48" customHeight="1">
      <c r="A8" s="10" t="inlineStr">
        <is>
          <t>3</t>
        </is>
      </c>
      <c r="B8" s="11" t="inlineStr">
        <is>
          <t>ファイルシステム</t>
        </is>
      </c>
      <c r="C8" s="11" t="inlineStr">
        <is>
          <t>ext4またはxfsが、ブロックの並べ方とジャーナルを処理する。作成や改名はここだけで完結する。</t>
        </is>
      </c>
      <c r="D8" s="11" t="inlineStr">
        <is>
          <t>58本のJVMが同じファイルシステムを同時に使えます。NFSは不要です。</t>
        </is>
      </c>
    </row>
    <row r="9" ht="48" customHeight="1">
      <c r="A9" s="12" t="inlineStr">
        <is>
          <t>4</t>
        </is>
      </c>
      <c r="B9" s="13" t="inlineStr">
        <is>
          <t>NVMe</t>
        </is>
      </c>
      <c r="C9" s="13" t="inlineStr">
        <is>
          <t>Nitro世代のEBSは、ゲストからはNVMeディスクに見えます。</t>
        </is>
      </c>
      <c r="D9" s="13" t="inlineStr">
        <is>
          <t>古いSCSIの形ではありません。</t>
        </is>
      </c>
    </row>
    <row r="10" ht="48" customHeight="1">
      <c r="A10" s="10" t="inlineStr">
        <is>
          <t>5</t>
        </is>
      </c>
      <c r="B10" s="11" t="inlineStr">
        <is>
          <t>EBS専用の帯域</t>
        </is>
      </c>
      <c r="C10" s="11" t="inlineStr">
        <is>
          <t>VPCの通信とは別の通り道です。公式の説明は、EBS I/Oと他の通信の競合を減らす最適化、です。</t>
        </is>
      </c>
      <c r="D10" s="11" t="inlineStr">
        <is>
          <t>DBやS3やAPIと、ログが同じ枠を奪い合いません。</t>
        </is>
      </c>
    </row>
    <row r="11" ht="48" customHeight="1">
      <c r="A11" s="12" t="inlineStr">
        <is>
          <t>6</t>
        </is>
      </c>
      <c r="B11" s="13" t="inlineStr">
        <is>
          <t>同じAZのEBS</t>
        </is>
      </c>
      <c r="C11" s="13" t="inlineStr">
        <is>
          <t>データはAZの中の複数のハードウェアへ複製される。応答が戻った時点で、その複製は受け付けられています。</t>
        </is>
      </c>
      <c r="D11" s="13" t="inlineStr">
        <is>
          <t>別AZの障害からは守れません。スナップショットはS3へ増分で保存できます。</t>
        </is>
      </c>
    </row>
    <row r="12" ht="48" customHeight="1">
      <c r="A12" s="10" t="inlineStr">
        <is>
          <t>7</t>
        </is>
      </c>
      <c r="B12" s="11" t="inlineStr">
        <is>
          <t>暗号化</t>
        </is>
      </c>
      <c r="C12" s="11" t="inlineStr">
        <is>
          <t>EBS暗号化はNitro上でAES-256です。ゲストのJVMのCPUをほとんど使いません。</t>
        </is>
      </c>
      <c r="D12" s="11" t="inlineStr">
        <is>
          <t>CPU 90%超でも、ディスク暗号化を理由にコアを渡しません。</t>
        </is>
      </c>
    </row>
    <row r="13" ht="24" customHeight="1">
      <c r="A13" s="6" t="inlineStr">
        <is>
          <t>EFSの道。廊下の共用棚</t>
        </is>
      </c>
      <c r="B13" s="6" t="n"/>
      <c r="C13" s="6" t="n"/>
      <c r="D13" s="6" t="n"/>
    </row>
    <row r="14" ht="32" customHeight="1">
      <c r="A14" s="7" t="inlineStr">
        <is>
          <t>順番</t>
        </is>
      </c>
      <c r="B14" s="7" t="inlineStr">
        <is>
          <t>どこで</t>
        </is>
      </c>
      <c r="C14" s="7" t="inlineStr">
        <is>
          <t>何が起きるか</t>
        </is>
      </c>
      <c r="D14" s="7" t="inlineStr">
        <is>
          <t>バッチから見えること</t>
        </is>
      </c>
    </row>
    <row r="15" ht="52" customHeight="1">
      <c r="A15" s="10" t="inlineStr">
        <is>
          <t>1</t>
        </is>
      </c>
      <c r="B15" s="11" t="inlineStr">
        <is>
          <t>JVM</t>
        </is>
      </c>
      <c r="C15" s="11" t="inlineStr">
        <is>
          <t>同じ write でも、届き方はマウントとオープンのフラグで変わる。同期やフラッシュは往復を増やします。</t>
        </is>
      </c>
      <c r="D15" s="11" t="inlineStr">
        <is>
          <t>ローカルディスクと同じAPIに見えても、中身の約束はNFSです。</t>
        </is>
      </c>
    </row>
    <row r="16" ht="52" customHeight="1">
      <c r="A16" s="12" t="inlineStr">
        <is>
          <t>2</t>
        </is>
      </c>
      <c r="B16" s="13" t="inlineStr">
        <is>
          <t>NFSクライアント</t>
        </is>
      </c>
      <c r="C16" s="13" t="inlineStr">
        <is>
          <t>NFSv4.1で、ファイル係へ依頼を出す。属性キャッシュがあると、古い情報を一瞬見ることがあります。キャッシュを消すと、見るたびに往復します。</t>
        </is>
      </c>
      <c r="D16" s="13" t="inlineStr">
        <is>
          <t>inotifyによるファイル監視は、ローカルディスクのようには働きません。</t>
        </is>
      </c>
    </row>
    <row r="17" ht="52" customHeight="1">
      <c r="A17" s="10" t="inlineStr">
        <is>
          <t>3</t>
        </is>
      </c>
      <c r="B17" s="11" t="inlineStr">
        <is>
          <t>暗号化する場合</t>
        </is>
      </c>
      <c r="C17" s="11" t="inlineStr">
        <is>
          <t>amazon-efs-utilsのTLSは、インスタンス上で暗号化処理が走ります。実装は版によって移っていますが、CPUがゼロになるわけではありません。</t>
        </is>
      </c>
      <c r="D17" s="11" t="inlineStr">
        <is>
          <t>ITの90%超に、この処理を足す前に測ります。</t>
        </is>
      </c>
    </row>
    <row r="18" ht="52" customHeight="1">
      <c r="A18" s="12" t="inlineStr">
        <is>
          <t>4</t>
        </is>
      </c>
      <c r="B18" s="13" t="inlineStr">
        <is>
          <t>VPCネットワーク</t>
        </is>
      </c>
      <c r="C18" s="13" t="inlineStr">
        <is>
          <t>EBS専用帯域ではなく、普通のネットワークです。S3、DB、APIと同じ枠です。</t>
        </is>
      </c>
      <c r="D18" s="13" t="inlineStr">
        <is>
          <t>c7a.2xlargeの常時枠は3.125Gbpsです。</t>
        </is>
      </c>
    </row>
    <row r="19" ht="52" customHeight="1">
      <c r="A19" s="10" t="inlineStr">
        <is>
          <t>5</t>
        </is>
      </c>
      <c r="B19" s="11" t="inlineStr">
        <is>
          <t>マウントターゲット</t>
        </is>
      </c>
      <c r="C19" s="11" t="inlineStr">
        <is>
          <t>サブネットにENIが置かれ、NFSの窓口になります。別AZの窓口を使うと、AZを跨ぐ転送料が両方向に乗ることがあります。</t>
        </is>
      </c>
      <c r="D19" s="11" t="inlineStr">
        <is>
          <t>窓口はインスタンスと同じAZに置きます。</t>
        </is>
      </c>
    </row>
    <row r="20" ht="52" customHeight="1">
      <c r="A20" s="12" t="inlineStr">
        <is>
          <t>6</t>
        </is>
      </c>
      <c r="B20" s="13" t="inlineStr">
        <is>
          <t>EFS本体</t>
        </is>
      </c>
      <c r="C20" s="13" t="inlineStr">
        <is>
          <t>Regionalは複数AZへメタデータとデータを複製します。ファイルを作る、名前を変える、消す、はデータ本体と別の仕事です。</t>
        </is>
      </c>
      <c r="D20" s="13" t="inlineStr">
        <is>
          <t>最良の遅延は、読み約1ms、書き約2.7ms。IAとArchiveは数十msです。</t>
        </is>
      </c>
    </row>
    <row r="21" ht="52" customHeight="1">
      <c r="A21" s="10" t="inlineStr">
        <is>
          <t>7</t>
        </is>
      </c>
      <c r="B21" s="11" t="inlineStr">
        <is>
          <t>課金の数え方</t>
        </is>
      </c>
      <c r="C21" s="11" t="inlineStr">
        <is>
          <t>Elasticでは、データ操作は最初の32KiB、その後1KiB刻み。メタデータは最初の4KiB、その後1KiB刻み。読みはスループット制限の勘定では書きの3分の1です。</t>
        </is>
      </c>
      <c r="D21" s="11" t="inlineStr">
        <is>
          <t>短い行を何度も届けると、実バイトより大きな請求になります。</t>
        </is>
      </c>
    </row>
    <row r="22" ht="24" customHeight="1">
      <c r="A22" s="6" t="inlineStr">
        <is>
          <t>同じ教室の58人は、すでに同じノートを共有している</t>
        </is>
      </c>
      <c r="B22" s="6" t="n"/>
      <c r="C22" s="6" t="n"/>
      <c r="D22" s="6" t="n"/>
    </row>
    <row r="23" ht="32" customHeight="1">
      <c r="A23" s="7" t="inlineStr">
        <is>
          <t>事実</t>
        </is>
      </c>
      <c r="B23" s="7" t="inlineStr">
        <is>
          <t>EBS</t>
        </is>
      </c>
      <c r="C23" s="7" t="inlineStr">
        <is>
          <t>EFS</t>
        </is>
      </c>
      <c r="D23" s="7" t="inlineStr">
        <is>
          <t>結論</t>
        </is>
      </c>
    </row>
    <row r="24" ht="48" customHeight="1">
      <c r="A24" s="8" t="inlineStr">
        <is>
          <t>1台のLinuxの上の複数プロセス</t>
        </is>
      </c>
      <c r="B24" s="9" t="inlineStr">
        <is>
          <t>同じマウントを、権限さえ合えば全部のJVMが見られます。ロックもローカルファイルシステムのものです。</t>
        </is>
      </c>
      <c r="C24" s="9" t="inlineStr">
        <is>
          <t>同じことをするために、一度外へ出て戻ってきます。</t>
        </is>
      </c>
      <c r="D24" s="9" t="inlineStr">
        <is>
          <t>台を増やさないあいだ、共有のためのEFSは仕事が増えるだけです。</t>
        </is>
      </c>
    </row>
  </sheetData>
  <mergeCells count="5">
    <mergeCell ref="A1:D1"/>
    <mergeCell ref="A22:D22"/>
    <mergeCell ref="A4:D4"/>
    <mergeCell ref="A2:D2"/>
    <mergeCell ref="A13:D13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04 動作原理&amp;C&amp;R&amp;"Meiryo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E21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4" customWidth="1" min="1" max="1"/>
    <col width="38" customWidth="1" min="2" max="2"/>
    <col width="38" customWidth="1" min="3" max="3"/>
    <col width="36" customWidth="1" min="4" max="4"/>
    <col width="28" customWidth="1" min="5" max="5"/>
  </cols>
  <sheetData>
    <row r="1" ht="32" customHeight="1">
      <c r="A1" s="14" t="inlineStr">
        <is>
          <t>項目ごとの比較。2026年10月の公式仕様</t>
        </is>
      </c>
      <c r="B1" s="15" t="n"/>
      <c r="C1" s="15" t="n"/>
      <c r="D1" s="15" t="n"/>
      <c r="E1" s="15" t="n"/>
    </row>
    <row r="2" ht="28" customHeight="1">
      <c r="A2" s="3" t="inlineStr">
        <is>
          <t>EBS列は今回採用するgp3を主に書いています。io2は参考です。EFS列はRegional、General Purpose、Elasticが既定の組み合わせです。</t>
        </is>
      </c>
      <c r="B2" s="4" t="n"/>
      <c r="C2" s="4" t="n"/>
      <c r="D2" s="4" t="n"/>
      <c r="E2" s="4" t="n"/>
    </row>
    <row r="3">
      <c r="A3" s="5" t="n"/>
      <c r="B3" s="5" t="n"/>
      <c r="C3" s="5" t="n"/>
      <c r="D3" s="5" t="n"/>
      <c r="E3" s="5" t="n"/>
    </row>
    <row r="4" ht="24" customHeight="1">
      <c r="A4" s="6" t="inlineStr">
        <is>
          <t>比較表</t>
        </is>
      </c>
      <c r="B4" s="6" t="n"/>
      <c r="C4" s="6" t="n"/>
      <c r="D4" s="6" t="n"/>
      <c r="E4" s="6" t="n"/>
    </row>
    <row r="5" ht="32" customHeight="1">
      <c r="A5" s="7" t="inlineStr">
        <is>
          <t>項目</t>
        </is>
      </c>
      <c r="B5" s="7" t="inlineStr">
        <is>
          <t>EBS gp3</t>
        </is>
      </c>
      <c r="C5" s="7" t="inlineStr">
        <is>
          <t>EFS Regional Elastic</t>
        </is>
      </c>
      <c r="D5" s="7" t="inlineStr">
        <is>
          <t>ログと一時領域での意味</t>
        </is>
      </c>
      <c r="E5" s="7" t="inlineStr">
        <is>
          <t>今回</t>
        </is>
      </c>
    </row>
    <row r="6" ht="52" customHeight="1">
      <c r="A6" s="10" t="inlineStr">
        <is>
          <t>見た目</t>
        </is>
      </c>
      <c r="B6" s="11" t="inlineStr">
        <is>
          <t>NVMeのディスク。ext4やxfsを自分で作る</t>
        </is>
      </c>
      <c r="C6" s="11" t="inlineStr">
        <is>
          <t>NFSv4のディレクトリ。容量は自動で伸びる</t>
        </is>
      </c>
      <c r="D6" s="11" t="inlineStr">
        <is>
          <t>アプリの改修なしでマウント先を変えられる点は同じです。中の遅延は違います。</t>
        </is>
      </c>
      <c r="E6" s="11" t="inlineStr">
        <is>
          <t>EBS</t>
        </is>
      </c>
    </row>
    <row r="7" ht="52" customHeight="1">
      <c r="A7" s="12" t="inlineStr">
        <is>
          <t>共有</t>
        </is>
      </c>
      <c r="B7" s="13" t="inlineStr">
        <is>
          <t>原則1インスタンス。io2のマルチアタッチはクラスター用ファイルシステムが前提で、ext4やxfsでは壊れます</t>
        </is>
      </c>
      <c r="C7" s="13" t="inlineStr">
        <is>
          <t>同一リージョンの多数のEC2、コンテナ、Lambdaから同時マウント</t>
        </is>
      </c>
      <c r="D7" s="13" t="inlineStr">
        <is>
          <t>今回の58JVMは同一OS上です。共有はローカルで足ります。</t>
        </is>
      </c>
      <c r="E7" s="13" t="inlineStr">
        <is>
          <t>EBS</t>
        </is>
      </c>
    </row>
    <row r="8" ht="52" customHeight="1">
      <c r="A8" s="10" t="inlineStr">
        <is>
          <t>置き場所</t>
        </is>
      </c>
      <c r="B8" s="11" t="inlineStr">
        <is>
          <t>1つのAZ</t>
        </is>
      </c>
      <c r="C8" s="11" t="inlineStr">
        <is>
          <t>Regionalは複数AZ。One Zoneは1つのAZ</t>
        </is>
      </c>
      <c r="D8" s="11" t="inlineStr">
        <is>
          <t>バッチのEC2が1台なら、ファイルだけ複数AZでも計算は続きません。</t>
        </is>
      </c>
      <c r="E8" s="11" t="inlineStr">
        <is>
          <t>EBS</t>
        </is>
      </c>
    </row>
    <row r="9" ht="52" customHeight="1">
      <c r="A9" s="12" t="inlineStr">
        <is>
          <t>耐久性の設計</t>
        </is>
      </c>
      <c r="B9" s="13" t="inlineStr">
        <is>
          <t>99.8%から99.9%。年間故障率0.1%から0.2%。io2は99.999%</t>
        </is>
      </c>
      <c r="C9" s="13" t="inlineStr">
        <is>
          <t>11ナイン。Regionalの可用性SLAは99.99%、One Zoneは99.9%</t>
        </is>
      </c>
      <c r="D9" s="13" t="inlineStr">
        <is>
          <t>数字の種類が違います。下書きに11ナインは過剰です。長期ログは転送先で守ります。</t>
        </is>
      </c>
      <c r="E9" s="13" t="inlineStr">
        <is>
          <t>転送＋EBS</t>
        </is>
      </c>
    </row>
    <row r="10" ht="52" customHeight="1">
      <c r="A10" s="10" t="inlineStr">
        <is>
          <t>読み遅延の最良</t>
        </is>
      </c>
      <c r="B10" s="11" t="inlineStr">
        <is>
          <t>1ミリ秒未満が通常の範囲。io2 Block Expressは16KiB平均500マイクロ秒未満</t>
        </is>
      </c>
      <c r="C10" s="11" t="inlineStr">
        <is>
          <t>約1ミリ秒。条件が悪いとこれより長い。IAとArchiveは数十ミリ秒</t>
        </is>
      </c>
      <c r="D10" s="11" t="inlineStr">
        <is>
          <t>同期書き込みのたびに差が積み上がります。</t>
        </is>
      </c>
      <c r="E10" s="11" t="inlineStr">
        <is>
          <t>EBS</t>
        </is>
      </c>
    </row>
    <row r="11" ht="52" customHeight="1">
      <c r="A11" s="12" t="inlineStr">
        <is>
          <t>書き遅延の最良</t>
        </is>
      </c>
      <c r="B11" s="13" t="inlineStr">
        <is>
          <t>シングルデジットのミリ秒より短い側が通常</t>
        </is>
      </c>
      <c r="C11" s="13" t="inlineStr">
        <is>
          <t>約2.7ミリ秒。One Zoneは約1.6ミリ秒</t>
        </is>
      </c>
      <c r="D11" s="13" t="inlineStr">
        <is>
          <t>ログのフラッシュがこの往復を待ちます。</t>
        </is>
      </c>
      <c r="E11" s="13" t="inlineStr">
        <is>
          <t>EBS</t>
        </is>
      </c>
    </row>
    <row r="12" ht="52" customHeight="1">
      <c r="A12" s="10" t="inlineStr">
        <is>
          <t>IOPS</t>
        </is>
      </c>
      <c r="B12" s="11" t="inlineStr">
        <is>
          <t>含まれる3,000。最大80,000。容量1GiBあたり500 IOPSまで</t>
        </is>
      </c>
      <c r="C12" s="11" t="inlineStr">
        <is>
          <t>Elasticの既定は、よく使うデータ読み250,000、書き50,000。申請で10倍まで</t>
        </is>
      </c>
      <c r="D12" s="11" t="inlineStr">
        <is>
          <t>全体の上限はEFSが大きいです。1回の遅延はEBSが短いです。今回は回数が巨大でも、1台の遅延が先に効きます。</t>
        </is>
      </c>
      <c r="E12" s="11" t="inlineStr">
        <is>
          <t>EBS</t>
        </is>
      </c>
    </row>
    <row r="13" ht="52" customHeight="1">
      <c r="A13" s="12" t="inlineStr">
        <is>
          <t>スループット</t>
        </is>
      </c>
      <c r="B13" s="13" t="inlineStr">
        <is>
          <t>含まれる125MiB/s。最大2,000MiB/s。IOPS 1あたり0.25MiB/sまで</t>
        </is>
      </c>
      <c r="C13" s="13" t="inlineStr">
        <is>
          <t>東京はファイルシステム全体で読み最大60GiBps、書き最大5GiBps。1クライアントはElasticかつ新しいクライアントで読み書き合計1,500MiBps。それ以外は500MiBps</t>
        </is>
      </c>
      <c r="D13" s="13" t="inlineStr">
        <is>
          <t>c7a.8xlargeのネットワークは12.5Gbpsです。EFSの1クライアント上限とほぼ同じ桁で、その枠を使い切ると他の通信が細ります。</t>
        </is>
      </c>
      <c r="E13" s="13" t="inlineStr">
        <is>
          <t>EBS</t>
        </is>
      </c>
    </row>
    <row r="14" ht="52" customHeight="1">
      <c r="A14" s="10" t="inlineStr">
        <is>
          <t>バースト</t>
        </is>
      </c>
      <c r="B14" s="11" t="inlineStr">
        <is>
          <t>gp3ボリューム自体にクレジットはない。c7a.2xlargeのEBS帯域は30分まで最大、その後ベースライン</t>
        </is>
      </c>
      <c r="C14" s="11" t="inlineStr">
        <is>
          <t>Elasticにクレジットはない。Burstingモードは容量比例で、今は既定ではありません</t>
        </is>
      </c>
      <c r="D14" s="11" t="inlineStr">
        <is>
          <t>ITの長いバッチは、EBSでも最大1,250MB/sを終日使えるとは見なしません。</t>
        </is>
      </c>
      <c r="E14" s="11" t="inlineStr">
        <is>
          <t>ベースラインで設計</t>
        </is>
      </c>
    </row>
    <row r="15" ht="52" customHeight="1">
      <c r="A15" s="12" t="inlineStr">
        <is>
          <t>CPU</t>
        </is>
      </c>
      <c r="B15" s="13" t="inlineStr">
        <is>
          <t>保管時暗号化はNitro</t>
        </is>
      </c>
      <c r="C15" s="13" t="inlineStr">
        <is>
          <t>転送中TLSはインスタンス側</t>
        </is>
      </c>
      <c r="D15" s="13" t="inlineStr">
        <is>
          <t>CPU余白がない構成では、TLSの有無を測ります。</t>
        </is>
      </c>
      <c r="E15" s="13" t="inlineStr">
        <is>
          <t>EBS</t>
        </is>
      </c>
    </row>
    <row r="16" ht="52" customHeight="1">
      <c r="A16" s="10" t="inlineStr">
        <is>
          <t>通る帯域</t>
        </is>
      </c>
      <c r="B16" s="11" t="inlineStr">
        <is>
          <t>EBS最適化の専用帯域</t>
        </is>
      </c>
      <c r="C16" s="11" t="inlineStr">
        <is>
          <t>インスタンスのネットワーク帯域</t>
        </is>
      </c>
      <c r="D16" s="11" t="inlineStr">
        <is>
          <t>専用と共用の差が、今回のいちばん大きい構造差です。</t>
        </is>
      </c>
      <c r="E16" s="11" t="inlineStr">
        <is>
          <t>EBS</t>
        </is>
      </c>
    </row>
    <row r="17" ht="52" customHeight="1">
      <c r="A17" s="12" t="inlineStr">
        <is>
          <t>容量の上限の意味</t>
        </is>
      </c>
      <c r="B17" s="13" t="inlineStr">
        <is>
          <t>確保した大きさで書き込みが止まる</t>
        </is>
      </c>
      <c r="C17" s="13" t="inlineStr">
        <is>
          <t>自動で増え、請求も増える</t>
        </is>
      </c>
      <c r="D17" s="13" t="inlineStr">
        <is>
          <t>バッチの暴走には、止まる側の方が安全装置になります。EBSは使用率アラームとセットにします。</t>
        </is>
      </c>
      <c r="E17" s="13" t="inlineStr">
        <is>
          <t>EBS</t>
        </is>
      </c>
    </row>
    <row r="18" ht="52" customHeight="1">
      <c r="A18" s="10" t="inlineStr">
        <is>
          <t>料金の形</t>
        </is>
      </c>
      <c r="B18" s="11" t="inlineStr">
        <is>
          <t>確保GB。3,000 IOPSと125MiB/sを超えた分だけ追加</t>
        </is>
      </c>
      <c r="C18" s="11" t="inlineStr">
        <is>
          <t>保管GBに加え、Elasticは読んだGBと書いたGB。小さい操作は最低サイズで数える</t>
        </is>
      </c>
      <c r="D18" s="11" t="inlineStr">
        <is>
          <t>一時領域の読み書きが多いと、EFSは保管料より転送料が本体になります。</t>
        </is>
      </c>
      <c r="E18" s="11" t="inlineStr">
        <is>
          <t>EBS</t>
        </is>
      </c>
    </row>
    <row r="19" ht="52" customHeight="1">
      <c r="A19" s="12" t="inlineStr">
        <is>
          <t>東京の単価</t>
        </is>
      </c>
      <c r="B19" s="13" t="inlineStr">
        <is>
          <t>gp3 0.096 USD/GB月。追加IOPS 0.006 USD。追加スループットは0.048 USD/MiB/s月（49.152 USD/GiBps月）</t>
        </is>
      </c>
      <c r="C19" s="13" t="inlineStr">
        <is>
          <t>Standard 0.36 USD/GB月。Elastic読み 0.04 USD/GB、書き 0.07 USD/GB</t>
        </is>
      </c>
      <c r="D19" s="13" t="inlineStr">
        <is>
          <t>保管だけで約3.75倍。転送が乗ると差はさらに開きます。税別。</t>
        </is>
      </c>
      <c r="E19" s="13" t="inlineStr">
        <is>
          <t>EBS</t>
        </is>
      </c>
    </row>
    <row r="20" ht="52" customHeight="1">
      <c r="A20" s="10" t="inlineStr">
        <is>
          <t>運用</t>
        </is>
      </c>
      <c r="B20" s="11" t="inlineStr">
        <is>
          <t>ボリューム、fstab、使用率</t>
        </is>
      </c>
      <c r="C20" s="11" t="inlineStr">
        <is>
          <t>マウントターゲット、SGの2049、クライアント、スループットモード、ライフサイクル</t>
        </is>
      </c>
      <c r="D20" s="11" t="inlineStr">
        <is>
          <t>起動のたびに遠隔マウントへ依存させると、ログ先が原因でバッチが起動しない事故になります。</t>
        </is>
      </c>
      <c r="E20" s="11" t="inlineStr">
        <is>
          <t>EBS</t>
        </is>
      </c>
    </row>
    <row r="21" ht="52" customHeight="1">
      <c r="A21" s="12" t="inlineStr">
        <is>
          <t>Javaとの相性</t>
        </is>
      </c>
      <c r="B21" s="13" t="inlineStr">
        <is>
          <t>通常のファイル、mmap、ウォッチが使える</t>
        </is>
      </c>
      <c r="C21" s="13" t="inlineStr">
        <is>
          <t>ファイルロックは1ファイルあたり512。mmapやWatchServiceはローカルと同じではありません</t>
        </is>
      </c>
      <c r="D21" s="13" t="inlineStr">
        <is>
          <t>既存JVMを変えずに移せる、と思っても挙動差が出ます。</t>
        </is>
      </c>
      <c r="E21" s="13" t="inlineStr">
        <is>
          <t>EBS</t>
        </is>
      </c>
    </row>
  </sheetData>
  <autoFilter ref="A5:E21"/>
  <mergeCells count="3">
    <mergeCell ref="A2:E2"/>
    <mergeCell ref="A1:E1"/>
    <mergeCell ref="A4:E4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05 比較&amp;C&amp;R&amp;"Meiryo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E26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34" customWidth="1" min="1" max="1"/>
    <col width="28" customWidth="1" min="2" max="2"/>
    <col width="28" customWidth="1" min="3" max="3"/>
    <col width="28" customWidth="1" min="4" max="4"/>
    <col width="40" customWidth="1" min="5" max="5"/>
  </cols>
  <sheetData>
    <row r="1" ht="32" customHeight="1">
      <c r="A1" s="14" t="inlineStr">
        <is>
          <t>性能の数字。最良値は保証された常時値ではない</t>
        </is>
      </c>
      <c r="B1" s="15" t="n"/>
      <c r="C1" s="15" t="n"/>
      <c r="D1" s="15" t="n"/>
      <c r="E1" s="15" t="n"/>
    </row>
    <row r="2" ht="24" customHeight="1">
      <c r="A2" s="3" t="inlineStr">
        <is>
          <t>EFSの表の遅延は、最適条件の値です。公式は、ネットワークと負荷で前後すると書いています。</t>
        </is>
      </c>
      <c r="B2" s="4" t="n"/>
      <c r="C2" s="4" t="n"/>
      <c r="D2" s="4" t="n"/>
      <c r="E2" s="4" t="n"/>
    </row>
    <row r="3">
      <c r="A3" s="5" t="n"/>
      <c r="B3" s="5" t="n"/>
      <c r="C3" s="5" t="n"/>
      <c r="D3" s="5" t="n"/>
      <c r="E3" s="5" t="n"/>
    </row>
    <row r="4" ht="24" customHeight="1">
      <c r="A4" s="6" t="inlineStr">
        <is>
          <t>EFS General Purpose。公式性能表（2026-10時点のユーザーガイド）</t>
        </is>
      </c>
      <c r="B4" s="6" t="n"/>
      <c r="C4" s="6" t="n"/>
      <c r="D4" s="6" t="n"/>
      <c r="E4" s="6" t="n"/>
    </row>
    <row r="5" ht="32" customHeight="1">
      <c r="A5" s="7" t="inlineStr">
        <is>
          <t>構成</t>
        </is>
      </c>
      <c r="B5" s="7" t="inlineStr">
        <is>
          <t>読み遅延</t>
        </is>
      </c>
      <c r="C5" s="7" t="inlineStr">
        <is>
          <t>書き遅延</t>
        </is>
      </c>
      <c r="D5" s="7" t="inlineStr">
        <is>
          <t>読みIOPS</t>
        </is>
      </c>
      <c r="E5" s="7" t="inlineStr">
        <is>
          <t>書きIOPS / スループット</t>
        </is>
      </c>
    </row>
    <row r="6" ht="48" customHeight="1">
      <c r="A6" s="10" t="inlineStr">
        <is>
          <t>Regional + Elastic</t>
        </is>
      </c>
      <c r="B6" s="11" t="inlineStr">
        <is>
          <t>約1ms</t>
        </is>
      </c>
      <c r="C6" s="11" t="inlineStr">
        <is>
          <t>約2.7ms</t>
        </is>
      </c>
      <c r="D6" s="11" t="inlineStr">
        <is>
          <t>よく使うデータの読みは既定25万、上限250万。あまり使わないデータの読みは既定9万、上限90万</t>
        </is>
      </c>
      <c r="E6" s="11" t="inlineStr">
        <is>
          <t>書きIOPSは既定5万、上限50万。ファイルシステム全体の読みは20から60GiBps、書きは1から5GiBps。東京は読み60、書き5。1クライアントは1,500MiBps（新しいクライアント）</t>
        </is>
      </c>
    </row>
    <row r="7" ht="48" customHeight="1">
      <c r="A7" s="12" t="inlineStr">
        <is>
          <t>Regional + Provisioned</t>
        </is>
      </c>
      <c r="B7" s="13" t="inlineStr">
        <is>
          <t>約1ms</t>
        </is>
      </c>
      <c r="C7" s="13" t="inlineStr">
        <is>
          <t>約2.7ms</t>
        </is>
      </c>
      <c r="D7" s="13" t="inlineStr">
        <is>
          <t>55,000</t>
        </is>
      </c>
      <c r="E7" s="13" t="inlineStr">
        <is>
          <t>書き25,000。読み3から10GiBps、書き1から3.33GiBps。1クライアント500MiBps</t>
        </is>
      </c>
    </row>
    <row r="8" ht="48" customHeight="1">
      <c r="A8" s="10" t="inlineStr">
        <is>
          <t>Regional + Bursting</t>
        </is>
      </c>
      <c r="B8" s="11" t="inlineStr">
        <is>
          <t>約1ms</t>
        </is>
      </c>
      <c r="C8" s="11" t="inlineStr">
        <is>
          <t>約2.7ms</t>
        </is>
      </c>
      <c r="D8" s="11" t="inlineStr">
        <is>
          <t>35,000</t>
        </is>
      </c>
      <c r="E8" s="11" t="inlineStr">
        <is>
          <t>書き7,000。読み3から5GiBps、書き1から3GiBps。クレジットで変動</t>
        </is>
      </c>
    </row>
    <row r="9" ht="48" customHeight="1">
      <c r="A9" s="12" t="inlineStr">
        <is>
          <t>One Zone</t>
        </is>
      </c>
      <c r="B9" s="13" t="inlineStr">
        <is>
          <t>約1ms</t>
        </is>
      </c>
      <c r="C9" s="13" t="inlineStr">
        <is>
          <t>約1.6ms</t>
        </is>
      </c>
      <c r="D9" s="13" t="inlineStr">
        <is>
          <t>35,000</t>
        </is>
      </c>
      <c r="E9" s="13" t="inlineStr">
        <is>
          <t>書き7,000。読み最大3GiBps、書き最大1GiBps。1クライアント500MiBps</t>
        </is>
      </c>
    </row>
    <row r="10" ht="48" customHeight="1">
      <c r="A10" s="10" t="inlineStr">
        <is>
          <t>Standardの初バイト</t>
        </is>
      </c>
      <c r="B10" s="11" t="inlineStr">
        <is>
          <t>1msまで短くなり得る</t>
        </is>
      </c>
      <c r="C10" s="11" t="inlineStr">
        <is>
          <t>2.7msまで</t>
        </is>
      </c>
      <c r="D10" s="11" t="inlineStr">
        <is>
          <t>アクティブデータ向け</t>
        </is>
      </c>
      <c r="E10" s="11" t="inlineStr">
        <is>
          <t>IAとArchiveの初バイトは数十ms</t>
        </is>
      </c>
    </row>
    <row r="11" ht="48" customHeight="1">
      <c r="A11" s="12" t="inlineStr">
        <is>
          <t>Max I/O</t>
        </is>
      </c>
      <c r="B11" s="13" t="inlineStr">
        <is>
          <t>General Purposeより長い</t>
        </is>
      </c>
      <c r="C11" s="13" t="inlineStr">
        <is>
          <t>さらに長い</t>
        </is>
      </c>
      <c r="D11" s="13" t="inlineStr">
        <is>
          <t>旧世代。Elasticでは使えない</t>
        </is>
      </c>
      <c r="E11" s="13" t="inlineStr">
        <is>
          <t>AWSは常にGeneral Purposeを推奨。新規の選択から外します。</t>
        </is>
      </c>
    </row>
    <row r="12" ht="24" customHeight="1">
      <c r="A12" s="6" t="inlineStr">
        <is>
          <t>EBSと、インスタンス側の天井</t>
        </is>
      </c>
      <c r="B12" s="6" t="n"/>
      <c r="C12" s="6" t="n"/>
      <c r="D12" s="6" t="n"/>
      <c r="E12" s="6" t="n"/>
    </row>
    <row r="13" ht="32" customHeight="1">
      <c r="A13" s="7" t="inlineStr">
        <is>
          <t>対象</t>
        </is>
      </c>
      <c r="B13" s="7" t="inlineStr">
        <is>
          <t>常時</t>
        </is>
      </c>
      <c r="C13" s="7" t="inlineStr">
        <is>
          <t>短時間の最大</t>
        </is>
      </c>
      <c r="D13" s="7" t="inlineStr">
        <is>
          <t>IOPSの見方</t>
        </is>
      </c>
      <c r="E13" s="7" t="inlineStr">
        <is>
          <t>今回の使い方</t>
        </is>
      </c>
    </row>
    <row r="14" ht="44" customHeight="1">
      <c r="A14" s="10" t="inlineStr">
        <is>
          <t>gp3ボリューム</t>
        </is>
      </c>
      <c r="B14" s="11" t="inlineStr">
        <is>
          <t>3,000 IOPS、125 MiB/s。クレジットなし</t>
        </is>
      </c>
      <c r="C14" s="11" t="inlineStr">
        <is>
          <t>追加購入で最大80,000 IOPS、2,000 MiB/s</t>
        </is>
      </c>
      <c r="D14" s="11" t="inlineStr">
        <is>
          <t>性能の99%の時間に、プロビジョン値を出す設計。遅延敏感ならio2</t>
        </is>
      </c>
      <c r="E14" s="11" t="inlineStr">
        <is>
          <t>まず含まれる値。足りなければ購入</t>
        </is>
      </c>
    </row>
    <row r="15" ht="44" customHeight="1">
      <c r="A15" s="12" t="inlineStr">
        <is>
          <t>io2 Block Express</t>
        </is>
      </c>
      <c r="B15" s="13" t="inlineStr">
        <is>
          <t>指定したIOPSを継続。最大256,000 IOPS、4,000 MiB/s</t>
        </is>
      </c>
      <c r="C15" s="13" t="inlineStr">
        <is>
          <t>バーストモデルではない</t>
        </is>
      </c>
      <c r="D15" s="13" t="inlineStr">
        <is>
          <t>16KiB平均500マイクロ秒未満。耐久性99.999%</t>
        </is>
      </c>
      <c r="E15" s="13" t="inlineStr">
        <is>
          <t>今回は費用対効果が合わない</t>
        </is>
      </c>
    </row>
    <row r="16" ht="44" customHeight="1">
      <c r="A16" s="10" t="inlineStr">
        <is>
          <t>c7a.2xlargeのEBS帯域</t>
        </is>
      </c>
      <c r="B16" s="11" t="inlineStr">
        <is>
          <t>2,500 Mbps、312.5 MB/s、12,000 IOPS（16KiB）</t>
        </is>
      </c>
      <c r="C16" s="11" t="inlineStr">
        <is>
          <t>30分以上を少なくとも24時間に1回、10Gbps、1,250 MB/s、40,000 IOPS。その後ベースライン</t>
        </is>
      </c>
      <c r="D16" s="11" t="inlineStr">
        <is>
          <t>ボリュームを足しても、インスタンスの天井は超えない</t>
        </is>
      </c>
      <c r="E16" s="11" t="inlineStr">
        <is>
          <t>長いITバッチは312.5 MB/sと12,000 IOPSで見る</t>
        </is>
      </c>
    </row>
    <row r="17" ht="44" customHeight="1">
      <c r="A17" s="12" t="inlineStr">
        <is>
          <t>c7a.8xlargeのEBS帯域</t>
        </is>
      </c>
      <c r="B17" s="13" t="inlineStr">
        <is>
          <t>10 Gbps、1,250 MB/s、40,000 IOPSを継続</t>
        </is>
      </c>
      <c r="C17" s="13" t="inlineStr">
        <is>
          <t>同じ。脚注2のタイプは継続</t>
        </is>
      </c>
      <c r="D17" s="13" t="inlineStr">
        <is>
          <t>本番をこのタイプと見た場合</t>
        </is>
      </c>
      <c r="E17" s="13" t="inlineStr">
        <is>
          <t>ボリューム側をこの範囲に合わせられる</t>
        </is>
      </c>
    </row>
    <row r="18" ht="44" customHeight="1">
      <c r="A18" s="10" t="inlineStr">
        <is>
          <t>c7a.2xlargeのネットワーク</t>
        </is>
      </c>
      <c r="B18" s="11" t="inlineStr">
        <is>
          <t>3.125 Gbps</t>
        </is>
      </c>
      <c r="C18" s="11" t="inlineStr">
        <is>
          <t>最大12.5 Gbps。クレジットはベストエフォート</t>
        </is>
      </c>
      <c r="D18" s="11" t="inlineStr">
        <is>
          <t>EFSはこの枠を使う</t>
        </is>
      </c>
      <c r="E18" s="11" t="inlineStr">
        <is>
          <t>カタログの12.5を常時の太さと読まない</t>
        </is>
      </c>
    </row>
    <row r="19" ht="44" customHeight="1">
      <c r="A19" s="12" t="inlineStr">
        <is>
          <t>c7a.8xlargeのネットワーク</t>
        </is>
      </c>
      <c r="B19" s="13" t="inlineStr">
        <is>
          <t>12.5 Gbpsを継続</t>
        </is>
      </c>
      <c r="C19" s="13" t="inlineStr">
        <is>
          <t>Up to ではない</t>
        </is>
      </c>
      <c r="D19" s="13" t="inlineStr">
        <is>
          <t>EFSの1クライアント1,500MiBpsと近い</t>
        </is>
      </c>
      <c r="E19" s="13" t="inlineStr">
        <is>
          <t>使い切るとDBとAPIが同じ枠で細る</t>
        </is>
      </c>
    </row>
    <row r="20" ht="44" customHeight="1">
      <c r="A20" s="10" t="inlineStr">
        <is>
          <t>gp2（比較）</t>
        </is>
      </c>
      <c r="B20" s="11" t="inlineStr">
        <is>
          <t>容量1GiBあたり3 IOPS。1TiB未満はバースト</t>
        </is>
      </c>
      <c r="C20" s="11" t="inlineStr">
        <is>
          <t>最大16,000 IOPS、250 MiB/s</t>
        </is>
      </c>
      <c r="D20" s="11" t="inlineStr">
        <is>
          <t>東京単価 0.12 USD/GB月</t>
        </is>
      </c>
      <c r="E20" s="11" t="inlineStr">
        <is>
          <t>新規には選ばない。gp3が細いディスクでも速い</t>
        </is>
      </c>
    </row>
    <row r="21" ht="24" customHeight="1">
      <c r="A21" s="6" t="inlineStr">
        <is>
          <t>遅延を回数に直すと</t>
        </is>
      </c>
      <c r="B21" s="6" t="n"/>
      <c r="C21" s="6" t="n"/>
      <c r="D21" s="6" t="n"/>
      <c r="E21" s="6" t="n"/>
    </row>
    <row r="22" ht="32" customHeight="1">
      <c r="A22" s="7" t="inlineStr">
        <is>
          <t>待ち</t>
        </is>
      </c>
      <c r="B22" s="7" t="inlineStr">
        <is>
          <t>1本の同期書き込みが1秒にできる回数の上限の目安</t>
        </is>
      </c>
      <c r="C22" s="7" t="inlineStr">
        <is>
          <t>58本が完全に並列な場合の粗い上限</t>
        </is>
      </c>
      <c r="D22" s="7" t="inlineStr">
        <is>
          <t>現実</t>
        </is>
      </c>
      <c r="E22" s="7" t="inlineStr">
        <is>
          <t>判断</t>
        </is>
      </c>
    </row>
    <row r="23" ht="40" customHeight="1">
      <c r="A23" s="10" t="inlineStr">
        <is>
          <t>0.5ms（io2の平均目標の桁）</t>
        </is>
      </c>
      <c r="B23" s="11" t="inlineStr">
        <is>
          <t>約2,000回</t>
        </is>
      </c>
      <c r="C23" s="11" t="inlineStr">
        <is>
          <t>約116,000回</t>
        </is>
      </c>
      <c r="D23" s="11" t="inlineStr">
        <is>
          <t>キャッシュとまとめ書きで、アプリの回数とディスクの回数は一致しません。</t>
        </is>
      </c>
      <c r="E23" s="11" t="inlineStr">
        <is>
          <t>参考の上限です。</t>
        </is>
      </c>
    </row>
    <row r="24" ht="40" customHeight="1">
      <c r="A24" s="12" t="inlineStr">
        <is>
          <t>1ms</t>
        </is>
      </c>
      <c r="B24" s="13" t="inlineStr">
        <is>
          <t>約1,000回</t>
        </is>
      </c>
      <c r="C24" s="13" t="inlineStr">
        <is>
          <t>約58,000回</t>
        </is>
      </c>
      <c r="D24" s="13" t="inlineStr">
        <is>
          <t>EFS読みの最良に近い桁です。</t>
        </is>
      </c>
      <c r="E24" s="13" t="inlineStr">
        <is>
          <t>同期読みを業務の途中に置くと見えます。</t>
        </is>
      </c>
    </row>
    <row r="25" ht="40" customHeight="1">
      <c r="A25" s="10" t="inlineStr">
        <is>
          <t>2.7ms（EFS書きの最良）</t>
        </is>
      </c>
      <c r="B25" s="11" t="inlineStr">
        <is>
          <t>約370回</t>
        </is>
      </c>
      <c r="C25" s="11" t="inlineStr">
        <is>
          <t>約21,000回</t>
        </is>
      </c>
      <c r="D25" s="11" t="inlineStr">
        <is>
          <t>負荷時は1回がさらに伸びます。最良値を常時値にしないでください。</t>
        </is>
      </c>
      <c r="E25" s="11" t="inlineStr">
        <is>
          <t>同期ログのフラッシュがこの桁です。</t>
        </is>
      </c>
    </row>
    <row r="26" ht="40" customHeight="1">
      <c r="A26" s="12" t="inlineStr">
        <is>
          <t>10ms（混雑やIAの入口）</t>
        </is>
      </c>
      <c r="B26" s="13" t="inlineStr">
        <is>
          <t>約100回</t>
        </is>
      </c>
      <c r="C26" s="13" t="inlineStr">
        <is>
          <t>約5,800回</t>
        </is>
      </c>
      <c r="D26" s="13" t="inlineStr">
        <is>
          <t>IAへ落ちたログをバッチが読み返すと、この帯に入ります。</t>
        </is>
      </c>
      <c r="E26" s="13" t="inlineStr">
        <is>
          <t>ログと一時領域にライフサイクルを付けません。</t>
        </is>
      </c>
    </row>
  </sheetData>
  <mergeCells count="5">
    <mergeCell ref="A21:E21"/>
    <mergeCell ref="A12:E12"/>
    <mergeCell ref="A4:E4"/>
    <mergeCell ref="A2:E2"/>
    <mergeCell ref="A1:E1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06 性能&amp;C&amp;R&amp;"Meiryo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9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8" customWidth="1" min="1" max="1"/>
    <col width="40" customWidth="1" min="2" max="2"/>
    <col width="40" customWidth="1" min="3" max="3"/>
    <col width="46" customWidth="1" min="4" max="4"/>
  </cols>
  <sheetData>
    <row r="1" ht="32" customHeight="1">
      <c r="A1" s="14" t="inlineStr">
        <is>
          <t>CPU 90%超のサーバに、ファイル係の往復を足さない</t>
        </is>
      </c>
      <c r="B1" s="15" t="n"/>
      <c r="C1" s="15" t="n"/>
      <c r="D1" s="15" t="n"/>
    </row>
    <row r="2" ht="26" customHeight="1">
      <c r="A2" s="3" t="inlineStr">
        <is>
          <t>c7aは1 vCPUが1物理コアです。空いている論理スレッドでNFSを隠す、という逃げ方はありません。</t>
        </is>
      </c>
      <c r="B2" s="4" t="n"/>
      <c r="C2" s="4" t="n"/>
      <c r="D2" s="4" t="n"/>
    </row>
    <row r="3">
      <c r="A3" s="5" t="n"/>
      <c r="B3" s="5" t="n"/>
      <c r="C3" s="5" t="n"/>
      <c r="D3" s="5" t="n"/>
    </row>
    <row r="4" ht="24" customHeight="1">
      <c r="A4" s="6" t="inlineStr">
        <is>
          <t>帯域の二本立て</t>
        </is>
      </c>
      <c r="B4" s="6" t="n"/>
      <c r="C4" s="6" t="n"/>
      <c r="D4" s="6" t="n"/>
    </row>
    <row r="5" ht="32" customHeight="1">
      <c r="A5" s="7" t="inlineStr">
        <is>
          <t>道</t>
        </is>
      </c>
      <c r="B5" s="7" t="inlineStr">
        <is>
          <t>何が通るか</t>
        </is>
      </c>
      <c r="C5" s="7" t="inlineStr">
        <is>
          <t>IT c7a.2xlarge</t>
        </is>
      </c>
      <c r="D5" s="7" t="inlineStr">
        <is>
          <t>本番をc7a.8xlargeと見た場合</t>
        </is>
      </c>
    </row>
    <row r="6" ht="48" customHeight="1">
      <c r="A6" s="8" t="inlineStr">
        <is>
          <t>EBS専用</t>
        </is>
      </c>
      <c r="B6" s="9" t="inlineStr">
        <is>
          <t>EBSの読み書きだけ</t>
        </is>
      </c>
      <c r="C6" s="9" t="inlineStr">
        <is>
          <t>常時312.5 MB/s、12,000 IOPS。最大は30分</t>
        </is>
      </c>
      <c r="D6" s="9" t="inlineStr">
        <is>
          <t>常時1,250 MB/s、40,000 IOPS</t>
        </is>
      </c>
    </row>
    <row r="7" ht="48" customHeight="1">
      <c r="A7" s="12" t="inlineStr">
        <is>
          <t>VPCネットワーク</t>
        </is>
      </c>
      <c r="B7" s="13" t="inlineStr">
        <is>
          <t>EFS、S3、DB、社内API、ログ転送、監視</t>
        </is>
      </c>
      <c r="C7" s="13" t="inlineStr">
        <is>
          <t>常時3.125 Gbps（約391 MB/s）。最大12.5 Gbpsはベストエフォート</t>
        </is>
      </c>
      <c r="D7" s="13" t="inlineStr">
        <is>
          <t>常時12.5 Gbps（約1,563 MB/s）</t>
        </is>
      </c>
    </row>
    <row r="8" ht="48" customHeight="1">
      <c r="A8" s="10" t="inlineStr">
        <is>
          <t>取り合い</t>
        </is>
      </c>
      <c r="B8" s="11" t="inlineStr">
        <is>
          <t>EFSを選ぶと、ログと一時領域がDBと同じ道に入る</t>
        </is>
      </c>
      <c r="C8" s="11" t="inlineStr">
        <is>
          <t>ベースラインでもログ程度なら太い。ただし遅延とクレジットは別</t>
        </is>
      </c>
      <c r="D8" s="11" t="inlineStr">
        <is>
          <t>1クライアントのEFS上限1,500MiBpsまで使うと、ネットワークのほぼ全部です</t>
        </is>
      </c>
    </row>
    <row r="9" ht="24" customHeight="1">
      <c r="A9" s="6" t="inlineStr">
        <is>
          <t>CPUに載る仕事</t>
        </is>
      </c>
      <c r="B9" s="6" t="n"/>
      <c r="C9" s="6" t="n"/>
      <c r="D9" s="6" t="n"/>
    </row>
    <row r="10" ht="32" customHeight="1">
      <c r="A10" s="7" t="inlineStr">
        <is>
          <t>仕事</t>
        </is>
      </c>
      <c r="B10" s="7" t="inlineStr">
        <is>
          <t>EBS</t>
        </is>
      </c>
      <c r="C10" s="7" t="inlineStr">
        <is>
          <t>EFS</t>
        </is>
      </c>
      <c r="D10" s="7" t="inlineStr">
        <is>
          <t>90%超での見方</t>
        </is>
      </c>
    </row>
    <row r="11" ht="44" customHeight="1">
      <c r="A11" s="10" t="inlineStr">
        <is>
          <t>ディスク暗号化</t>
        </is>
      </c>
      <c r="B11" s="11" t="inlineStr">
        <is>
          <t>Nitroが処理。ゲストCPUはほぼ増えない</t>
        </is>
      </c>
      <c r="C11" s="11" t="inlineStr">
        <is>
          <t>保管時の暗号化はEFS側でも可能。転送中TLSは別</t>
        </is>
      </c>
      <c r="D11" s="11" t="inlineStr">
        <is>
          <t>保管時暗号化はどちらでも理由にならない。転送中が差分</t>
        </is>
      </c>
    </row>
    <row r="12" ht="44" customHeight="1">
      <c r="A12" s="12" t="inlineStr">
        <is>
          <t>転送中の暗号化</t>
        </is>
      </c>
      <c r="B12" s="13" t="inlineStr">
        <is>
          <t>EBSの通り道はAWSの設備内。ゲストのTLSは不要</t>
        </is>
      </c>
      <c r="C12" s="13" t="inlineStr">
        <is>
          <t>TLSを有効にするとインスタンスで暗号化と復号が走る</t>
        </is>
      </c>
      <c r="D12" s="13" t="inlineStr">
        <is>
          <t>測るまで『誤差』と書かない。CPUが余っていない</t>
        </is>
      </c>
    </row>
    <row r="13" ht="44" customHeight="1">
      <c r="A13" s="10" t="inlineStr">
        <is>
          <t>NFS手続き</t>
        </is>
      </c>
      <c r="B13" s="11" t="inlineStr">
        <is>
          <t>発生しない</t>
        </is>
      </c>
      <c r="C13" s="11" t="inlineStr">
        <is>
          <t>要求の組み立て、再送、属性キャッシュの管理</t>
        </is>
      </c>
      <c r="D13" s="11" t="inlineStr">
        <is>
          <t>iowaitが増えるか、スループットのためのCPUが増える</t>
        </is>
      </c>
    </row>
    <row r="14" ht="44" customHeight="1">
      <c r="A14" s="12" t="inlineStr">
        <is>
          <t>GCと58JVM</t>
        </is>
      </c>
      <c r="B14" s="13" t="inlineStr">
        <is>
          <t>どちらでも起きる</t>
        </is>
      </c>
      <c r="C14" s="13" t="inlineStr">
        <is>
          <t>待ちが増えると、生存期間の長いオブジェクトやスレッドの滞留が悪化し得る</t>
        </is>
      </c>
      <c r="D14" s="13" t="inlineStr">
        <is>
          <t>ディスクが原因の遅延を、GCが原因に見えることがある</t>
        </is>
      </c>
    </row>
    <row r="15" ht="44" customHeight="1">
      <c r="A15" s="10" t="inlineStr">
        <is>
          <t>ログ転送エージェント</t>
        </is>
      </c>
      <c r="B15" s="11" t="inlineStr">
        <is>
          <t>ローカルファイルを読むだけ。読みはEBS専用帯域</t>
        </is>
      </c>
      <c r="C15" s="11" t="inlineStr">
        <is>
          <t>EFS上のファイルを読むと、読んだ量もElasticの対象になり得る</t>
        </is>
      </c>
      <c r="D15" s="11" t="inlineStr">
        <is>
          <t>転送元はローカルEBSが単純</t>
        </is>
      </c>
    </row>
    <row r="16" ht="24" customHeight="1">
      <c r="A16" s="6" t="inlineStr">
        <is>
          <t>メモリが薄いとキャッシュが助けない</t>
        </is>
      </c>
      <c r="B16" s="6" t="n"/>
      <c r="C16" s="6" t="n"/>
      <c r="D16" s="6" t="n"/>
    </row>
    <row r="17" ht="32" customHeight="1">
      <c r="A17" s="7" t="inlineStr">
        <is>
          <t>環境</t>
        </is>
      </c>
      <c r="B17" s="7" t="inlineStr">
        <is>
          <t>JVMに割けるメモリの上限の目安</t>
        </is>
      </c>
      <c r="C17" s="7" t="inlineStr">
        <is>
          <t>ページキャッシュ</t>
        </is>
      </c>
      <c r="D17" s="7" t="inlineStr">
        <is>
          <t>結果</t>
        </is>
      </c>
    </row>
    <row r="18" ht="40" customHeight="1">
      <c r="A18" s="10" t="inlineStr">
        <is>
          <t>IT 16GiB / 10JVM</t>
        </is>
      </c>
      <c r="B18" s="11" t="inlineStr">
        <is>
          <t>OSを残すと1JVM 1GiB前後になりやすい</t>
        </is>
      </c>
      <c r="C18" s="11" t="inlineStr">
        <is>
          <t>ログの再読込をメモリが受け止めにくい</t>
        </is>
      </c>
      <c r="D18" s="11" t="inlineStr">
        <is>
          <t>書き込み先の遅延がバッチ時間に出やすい</t>
        </is>
      </c>
    </row>
    <row r="19" ht="40" customHeight="1">
      <c r="A19" s="12" t="inlineStr">
        <is>
          <t>本番 64GiB / 58JVMと仮定</t>
        </is>
      </c>
      <c r="B19" s="13" t="inlineStr">
        <is>
          <t>1JVMあたり約1.1GiBにOS分を含む</t>
        </is>
      </c>
      <c r="C19" s="13" t="inlineStr">
        <is>
          <t>58プロセスでキャッシュはすぐに入れ替わる</t>
        </is>
      </c>
      <c r="D19" s="13" t="inlineStr">
        <is>
          <t>EFSのミリ秒をキャッシュで隠せる、とは置かない</t>
        </is>
      </c>
    </row>
  </sheetData>
  <mergeCells count="5">
    <mergeCell ref="A1:D1"/>
    <mergeCell ref="A9:D9"/>
    <mergeCell ref="A4:D4"/>
    <mergeCell ref="A16:D16"/>
    <mergeCell ref="A2:D2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07 CPUと帯域&amp;C&amp;R&amp;"Meiryo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1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6" customWidth="1" min="1" max="1"/>
    <col width="42" customWidth="1" min="2" max="2"/>
    <col width="42" customWidth="1" min="3" max="3"/>
    <col width="44" customWidth="1" min="4" max="4"/>
  </cols>
  <sheetData>
    <row r="1" ht="32" customHeight="1">
      <c r="A1" s="14" t="inlineStr">
        <is>
          <t>ログと一時領域は、大きいファイルの保管ではない</t>
        </is>
      </c>
      <c r="B1" s="15" t="n"/>
      <c r="C1" s="15" t="n"/>
      <c r="D1" s="15" t="n"/>
    </row>
    <row r="2" ht="28" customHeight="1">
      <c r="A2" s="3" t="inlineStr">
        <is>
          <t>EFSが得意な形は、大きなファイルを多くのクライアントが順に読む形です。今回の二つの領域は、その形から外れやすいです。</t>
        </is>
      </c>
      <c r="B2" s="4" t="n"/>
      <c r="C2" s="4" t="n"/>
      <c r="D2" s="4" t="n"/>
    </row>
    <row r="3">
      <c r="A3" s="5" t="n"/>
      <c r="B3" s="5" t="n"/>
      <c r="C3" s="5" t="n"/>
      <c r="D3" s="5" t="n"/>
    </row>
    <row r="4" ht="24" customHeight="1">
      <c r="A4" s="6" t="inlineStr">
        <is>
          <t>ログ</t>
        </is>
      </c>
      <c r="B4" s="6" t="n"/>
      <c r="C4" s="6" t="n"/>
      <c r="D4" s="6" t="n"/>
    </row>
    <row r="5" ht="32" customHeight="1">
      <c r="A5" s="7" t="inlineStr">
        <is>
          <t>振る舞い</t>
        </is>
      </c>
      <c r="B5" s="7" t="inlineStr">
        <is>
          <t>ローカルEBS</t>
        </is>
      </c>
      <c r="C5" s="7" t="inlineStr">
        <is>
          <t>EFS</t>
        </is>
      </c>
      <c r="D5" s="7" t="inlineStr">
        <is>
          <t>設定で悪化する点</t>
        </is>
      </c>
    </row>
    <row r="6" ht="48" customHeight="1">
      <c r="A6" s="10" t="inlineStr">
        <is>
          <t>追記</t>
        </is>
      </c>
      <c r="B6" s="11" t="inlineStr">
        <is>
          <t>ページキャッシュがまとめてからブロック書き込みになる</t>
        </is>
      </c>
      <c r="C6" s="11" t="inlineStr">
        <is>
          <t>フラッシュのたびにNFSのWRITEやCOMMITになり得る</t>
        </is>
      </c>
      <c r="D6" s="11" t="inlineStr">
        <is>
          <t>Log4jのimmediateFlushが真だと、イベントごとに押し出します</t>
        </is>
      </c>
    </row>
    <row r="7" ht="48" customHeight="1">
      <c r="A7" s="12" t="inlineStr">
        <is>
          <t>ローテーション</t>
        </is>
      </c>
      <c r="B7" s="13" t="inlineStr">
        <is>
          <t>renameとcreateはファイルシステム内で短い</t>
        </is>
      </c>
      <c r="C7" s="13" t="inlineStr">
        <is>
          <t>改名、作成、削除がそれぞれメタデータRPC。最低4KiBで数えられる</t>
        </is>
      </c>
      <c r="D7" s="13" t="inlineStr">
        <is>
          <t>時間でのローテーションを58本が同時に行うと窓が混む</t>
        </is>
      </c>
    </row>
    <row r="8" ht="48" customHeight="1">
      <c r="A8" s="10" t="inlineStr">
        <is>
          <t>短い行</t>
        </is>
      </c>
      <c r="B8" s="11" t="inlineStr">
        <is>
          <t>カーネルがまとめるので、200バイトが200バイトのI/Oとは限らない</t>
        </is>
      </c>
      <c r="C8" s="11" t="inlineStr">
        <is>
          <t>データ操作は32KiB未満でも32KiBとして数え始め、その後1KiB刻み</t>
        </is>
      </c>
      <c r="D8" s="11" t="inlineStr">
        <is>
          <t>1行1書き込みにすると請求と往復が膨張する</t>
        </is>
      </c>
    </row>
    <row r="9" ht="48" customHeight="1">
      <c r="A9" s="12" t="inlineStr">
        <is>
          <t>長く残す</t>
        </is>
      </c>
      <c r="B9" s="13" t="inlineStr">
        <is>
          <t>ディスクが満杯になる。転送して消せば小さい巻で足りる</t>
        </is>
      </c>
      <c r="C9" s="13" t="inlineStr">
        <is>
          <t>Standardに置き続けると0.36 USD/GB月。IAへ落とすと読むたびに数十msとアクセス料</t>
        </is>
      </c>
      <c r="D9" s="13" t="inlineStr">
        <is>
          <t>ログ用EFSにライフサイクルを付けない。付けても一時領域と同居させない</t>
        </is>
      </c>
    </row>
    <row r="10" ht="48" customHeight="1">
      <c r="A10" s="10" t="inlineStr">
        <is>
          <t>サーバ消失</t>
        </is>
      </c>
      <c r="B10" s="11" t="inlineStr">
        <is>
          <t>未転送分はそのAZと一緒に失われ得る</t>
        </is>
      </c>
      <c r="C10" s="11" t="inlineStr">
        <is>
          <t>書き込み完了済みのファイルはRegionalなら別AZに残る</t>
        </is>
      </c>
      <c r="D10" s="11" t="inlineStr">
        <is>
          <t>この利点は本物です。ただし同じ目的は、短い間隔のログ転送で達成できます</t>
        </is>
      </c>
    </row>
    <row r="11" ht="48" customHeight="1">
      <c r="A11" s="12" t="inlineStr">
        <is>
          <t>収集</t>
        </is>
      </c>
      <c r="B11" s="13" t="inlineStr">
        <is>
          <t>エージェントがローカルを読む</t>
        </is>
      </c>
      <c r="C11" s="13" t="inlineStr">
        <is>
          <t>共有棚に集めれば1か所でtailできる</t>
        </is>
      </c>
      <c r="D11" s="13" t="inlineStr">
        <is>
          <t>収集の便利さのために、計算のホットパスをNFSにしない</t>
        </is>
      </c>
    </row>
    <row r="12" ht="24" customHeight="1">
      <c r="A12" s="6" t="inlineStr">
        <is>
          <t>一時領域</t>
        </is>
      </c>
      <c r="B12" s="6" t="n"/>
      <c r="C12" s="6" t="n"/>
      <c r="D12" s="6" t="n"/>
    </row>
    <row r="13" ht="32" customHeight="1">
      <c r="A13" s="7" t="inlineStr">
        <is>
          <t>振る舞い</t>
        </is>
      </c>
      <c r="B13" s="7" t="inlineStr">
        <is>
          <t>ローカルEBS</t>
        </is>
      </c>
      <c r="C13" s="7" t="inlineStr">
        <is>
          <t>EFS</t>
        </is>
      </c>
      <c r="D13" s="7" t="inlineStr">
        <is>
          <t>推奨</t>
        </is>
      </c>
    </row>
    <row r="14" ht="48" customHeight="1">
      <c r="A14" s="10" t="inlineStr">
        <is>
          <t>作成してすぐ読む</t>
        </is>
      </c>
      <c r="B14" s="11" t="inlineStr">
        <is>
          <t>作成はローカルメタデータ。読込はキャッシュに乗りやすい</t>
        </is>
      </c>
      <c r="C14" s="11" t="inlineStr">
        <is>
          <t>CREATE、WRITE、READ、REMOVEが往復。属性キャッシュの取り違えもある</t>
        </is>
      </c>
      <c r="D14" s="11" t="inlineStr">
        <is>
          <t>java.io.tmpdirはEBS上の専用ディレクトリ</t>
        </is>
      </c>
    </row>
    <row r="15" ht="48" customHeight="1">
      <c r="A15" s="12" t="inlineStr">
        <is>
          <t>小さいファイルを大量に作る</t>
        </is>
      </c>
      <c r="B15" s="13" t="inlineStr">
        <is>
          <t>ジャーナルとinodeのIOPSを消費。gp3の3,000から増やせる</t>
        </is>
      </c>
      <c r="C15" s="13" t="inlineStr">
        <is>
          <t>メタデータが4KiB単位で課金され、遅延もメタデータ側に出る</t>
        </is>
      </c>
      <c r="D15" s="13" t="inlineStr">
        <is>
          <t>個数が多いほどEBSが有利</t>
        </is>
      </c>
    </row>
    <row r="16" ht="48" customHeight="1">
      <c r="A16" s="10" t="inlineStr">
        <is>
          <t>大きいソートの途中結果</t>
        </is>
      </c>
      <c r="B16" s="11" t="inlineStr">
        <is>
          <t>順次書き込みはスループットの比較になる。専用帯域を使える</t>
        </is>
      </c>
      <c r="C16" s="11" t="inlineStr">
        <is>
          <t>順次ならEFSの不利は小さくなる。それでもネットワーク枠を使う</t>
        </is>
      </c>
      <c r="D16" s="11" t="inlineStr">
        <is>
          <t>共有しないならEBS。125MiB/sを超えたらgp3のスループットを買う</t>
        </is>
      </c>
    </row>
    <row r="17" ht="48" customHeight="1">
      <c r="A17" s="12" t="inlineStr">
        <is>
          <t>消し忘れ</t>
        </is>
      </c>
      <c r="B17" s="13" t="inlineStr">
        <is>
          <t>ボリュームがいっぱいになると書き込みが失敗する。アラームで事前に分かる</t>
        </is>
      </c>
      <c r="C17" s="13" t="inlineStr">
        <is>
          <t>静かに容量と請求が増える。Elasticは転送の上限がない</t>
        </is>
      </c>
      <c r="D17" s="13" t="inlineStr">
        <is>
          <t>失敗が見えるEBSの方が、バッチの安全装置に向く</t>
        </is>
      </c>
    </row>
    <row r="18" ht="48" customHeight="1">
      <c r="A18" s="10" t="inlineStr">
        <is>
          <t>再実行</t>
        </is>
      </c>
      <c r="B18" s="11" t="inlineStr">
        <is>
          <t>途中ファイルは捨てて、ジョブを最初から行う</t>
        </is>
      </c>
      <c r="C18" s="11" t="inlineStr">
        <is>
          <t>残った途中ファイルを別サーバが拾いたくなることがある</t>
        </is>
      </c>
      <c r="D18" s="11" t="inlineStr">
        <is>
          <t>拾う要件が仕様になるまで、共有にしない。中途半端な残存は再実行を複雑にする</t>
        </is>
      </c>
    </row>
    <row r="19" ht="24" customHeight="1">
      <c r="A19" s="6" t="inlineStr">
        <is>
          <t>小さい書き込みの数え方。上限に近い例</t>
        </is>
      </c>
      <c r="B19" s="6" t="n"/>
      <c r="C19" s="6" t="n"/>
      <c r="D19" s="6" t="n"/>
    </row>
    <row r="20" ht="32" customHeight="1">
      <c r="A20" s="7" t="inlineStr">
        <is>
          <t>前提</t>
        </is>
      </c>
      <c r="B20" s="7" t="inlineStr">
        <is>
          <t>実データ</t>
        </is>
      </c>
      <c r="C20" s="7" t="inlineStr">
        <is>
          <t>32KiBで数えた場合</t>
        </is>
      </c>
      <c r="D20" s="7" t="inlineStr">
        <is>
          <t>読み方</t>
        </is>
      </c>
    </row>
    <row r="21" ht="78" customHeight="1">
      <c r="A21" s="8" t="inlineStr">
        <is>
          <t>58JVMが毎秒100行、1行200バイト、1日2時間、毎行が別のEFSデータ書き込みとして届く</t>
        </is>
      </c>
      <c r="B21" s="9" t="inlineStr">
        <is>
          <t>58×100×200×7,200バイト = 約7.78GiB/日</t>
        </is>
      </c>
      <c r="C21" s="9" t="inlineStr">
        <is>
          <t>58×100×32,768×7,200バイト = 約1,274GiB/日。0.07 USDなら1日約89 USD、30日で約2,676 USD。10億バイトのGBで割ると30日約2,873 USD</t>
        </is>
      </c>
      <c r="D21" s="9" t="inlineStr">
        <is>
          <t>Linuxがまとめればここまで届きません。まとめを壊すのが、行ごとのフラッシュです。EBSはこのまとめが働きやすい場所です。この行は請求の上限側のイメージであり、予測値ではありません。</t>
        </is>
      </c>
    </row>
  </sheetData>
  <mergeCells count="5">
    <mergeCell ref="A1:D1"/>
    <mergeCell ref="A12:D12"/>
    <mergeCell ref="A4:D4"/>
    <mergeCell ref="A19:D19"/>
    <mergeCell ref="A2:D2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08 ログと一時&amp;C&amp;R&amp;"Meiryo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4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18" customWidth="1" min="1" max="1"/>
    <col width="55" customWidth="1" min="2" max="2"/>
    <col width="55" customWidth="1" min="3" max="3"/>
    <col width="28" customWidth="1" min="4" max="4"/>
  </cols>
  <sheetData>
    <row r="1" ht="32" customHeight="1">
      <c r="A1" s="14" t="inlineStr">
        <is>
          <t>メリットとデメリット。製品単体ではなく、今回の用途で見る</t>
        </is>
      </c>
      <c r="B1" s="15" t="n"/>
      <c r="C1" s="15" t="n"/>
      <c r="D1" s="15" t="n"/>
    </row>
    <row r="2" ht="24" customHeight="1">
      <c r="A2" s="3" t="inlineStr">
        <is>
          <t>EFSのメリットは本物です。効く場所が、今回のログと一時領域ではありません。</t>
        </is>
      </c>
      <c r="B2" s="4" t="n"/>
      <c r="C2" s="4" t="n"/>
      <c r="D2" s="4" t="n"/>
    </row>
    <row r="3">
      <c r="A3" s="5" t="n"/>
      <c r="B3" s="5" t="n"/>
      <c r="C3" s="5" t="n"/>
      <c r="D3" s="5" t="n"/>
    </row>
    <row r="4" ht="24" customHeight="1">
      <c r="A4" s="6" t="inlineStr">
        <is>
          <t>EBS gp3</t>
        </is>
      </c>
      <c r="B4" s="6" t="n"/>
      <c r="C4" s="6" t="n"/>
      <c r="D4" s="6" t="n"/>
    </row>
    <row r="5" ht="32" customHeight="1">
      <c r="A5" s="7" t="inlineStr">
        <is>
          <t>区分</t>
        </is>
      </c>
      <c r="B5" s="7" t="inlineStr">
        <is>
          <t>内容</t>
        </is>
      </c>
      <c r="C5" s="7" t="inlineStr">
        <is>
          <t>今回の効き</t>
        </is>
      </c>
      <c r="D5" s="7" t="inlineStr">
        <is>
          <t>注意</t>
        </is>
      </c>
    </row>
    <row r="6" ht="52" customHeight="1">
      <c r="A6" s="10" t="inlineStr">
        <is>
          <t>メリット</t>
        </is>
      </c>
      <c r="B6" s="11" t="inlineStr">
        <is>
          <t>遅延が短い。専用帯域。Nitro暗号化。書き込み回数で料金が膨らまない。58JVMが同じOS上で自然に共有できる。容量の上限が安全装置になる。fstabが単純。</t>
        </is>
      </c>
      <c r="C6" s="11" t="inlineStr">
        <is>
          <t>すべて効きます。</t>
        </is>
      </c>
      <c r="D6" s="11" t="inlineStr">
        <is>
          <t>AZ障害では、未転送のログは失われ得ます。転送で補います。</t>
        </is>
      </c>
    </row>
    <row r="7" ht="52" customHeight="1">
      <c r="A7" s="12" t="inlineStr">
        <is>
          <t>メリット</t>
        </is>
      </c>
      <c r="B7" s="13" t="inlineStr">
        <is>
          <t>3,000 IOPSと125MiB/sが小さい巻にも付く。IOPSとスループットを後から上げられる。スナップショットでルートを戻せる。</t>
        </is>
      </c>
      <c r="C7" s="13" t="inlineStr">
        <is>
          <t>初期費用を抑え、測ってから買えます。</t>
        </is>
      </c>
      <c r="D7" s="13" t="inlineStr">
        <is>
          <t>c7a.2xlargeはインスタンス側が30分バーストです。巻だけ速くしても終日はベースラインです。</t>
        </is>
      </c>
    </row>
    <row r="8" ht="52" customHeight="1">
      <c r="A8" s="10" t="inlineStr">
        <is>
          <t>デメリット</t>
        </is>
      </c>
      <c r="B8" s="11" t="inlineStr">
        <is>
          <t>複数のEC2から同じボリュームを普通のファイルシステムとして共有できない。</t>
        </is>
      </c>
      <c r="C8" s="11" t="inlineStr">
        <is>
          <t>今回はデメリットになりません。</t>
        </is>
      </c>
      <c r="D8" s="11" t="inlineStr">
        <is>
          <t>マルチアタッチをext4で使うとデータが壊れます。</t>
        </is>
      </c>
    </row>
    <row r="9" ht="52" customHeight="1">
      <c r="A9" s="12" t="inlineStr">
        <is>
          <t>デメリット</t>
        </is>
      </c>
      <c r="B9" s="13" t="inlineStr">
        <is>
          <t>事前に容量を決める。足りないとENOSPCでジョブが落ちる。</t>
        </is>
      </c>
      <c r="C9" s="13" t="inlineStr">
        <is>
          <t>アラームと余裕容量で扱えます。</t>
        </is>
      </c>
      <c r="D9" s="13" t="inlineStr">
        <is>
          <t>ルートと同じ巻にすると、ログ満杯でOSが止まります。必ず分けます。</t>
        </is>
      </c>
    </row>
    <row r="10" ht="52" customHeight="1">
      <c r="A10" s="10" t="inlineStr">
        <is>
          <t>デメリット</t>
        </is>
      </c>
      <c r="B10" s="11" t="inlineStr">
        <is>
          <t>gp3の耐久性はio2やEFSより低い設計です。</t>
        </is>
      </c>
      <c r="C10" s="11" t="inlineStr">
        <is>
          <t>一時領域では許容できます。</t>
        </is>
      </c>
      <c r="D10" s="11" t="inlineStr">
        <is>
          <t>このボリュームだけに監査ログの原本を永久保存しないでください。</t>
        </is>
      </c>
    </row>
    <row r="11" ht="24" customHeight="1">
      <c r="A11" s="6" t="inlineStr">
        <is>
          <t>EFS</t>
        </is>
      </c>
      <c r="B11" s="6" t="n"/>
      <c r="C11" s="6" t="n"/>
      <c r="D11" s="6" t="n"/>
    </row>
    <row r="12" ht="32" customHeight="1">
      <c r="A12" s="7" t="inlineStr">
        <is>
          <t>区分</t>
        </is>
      </c>
      <c r="B12" s="7" t="inlineStr">
        <is>
          <t>内容</t>
        </is>
      </c>
      <c r="C12" s="7" t="inlineStr">
        <is>
          <t>今回の効き</t>
        </is>
      </c>
      <c r="D12" s="7" t="inlineStr">
        <is>
          <t>注意</t>
        </is>
      </c>
    </row>
    <row r="13" ht="56" customHeight="1">
      <c r="A13" s="10" t="inlineStr">
        <is>
          <t>メリット</t>
        </is>
      </c>
      <c r="B13" s="11" t="inlineStr">
        <is>
          <t>多数のコンピュータが同じファイルを同時に見られる。容量を事前に決めなくてよい。RegionalはAZ障害後もファイルが残る。サーバの入れ替えでデータを移さなくてよい。</t>
        </is>
      </c>
      <c r="C13" s="11" t="inlineStr">
        <is>
          <t>58JVMが1台にいるあいだ、共有のメリットは発生しません。容量の自動拡張だけが残ります。</t>
        </is>
      </c>
      <c r="D13" s="11" t="inlineStr">
        <is>
          <t>自動拡張は、暴走時の請求上限がないことと同じです。</t>
        </is>
      </c>
    </row>
    <row r="14" ht="56" customHeight="1">
      <c r="A14" s="12" t="inlineStr">
        <is>
          <t>メリット</t>
        </is>
      </c>
      <c r="B14" s="13" t="inlineStr">
        <is>
          <t>Elasticはクレジット切れがなく、全体IOPSは非常に大きい。東京は読み60GiBps、書き5GiBpsまで。</t>
        </is>
      </c>
      <c r="C14" s="13" t="inlineStr">
        <is>
          <t>1台のバッチはその全体性能を使えません。1クライアントは1,500MiBpsが上限です。</t>
        </is>
      </c>
      <c r="D14" s="13" t="inlineStr">
        <is>
          <t>全体の数字で、1台の遅延が短いと読まないでください。</t>
        </is>
      </c>
    </row>
    <row r="15" ht="56" customHeight="1">
      <c r="A15" s="10" t="inlineStr">
        <is>
          <t>デメリット</t>
        </is>
      </c>
      <c r="B15" s="11" t="inlineStr">
        <is>
          <t>操作ごとの遅延。メタデータ。転送中暗号化のCPU。ネットワーク枠の共有。小さいIOの課金。起動時のマウント依存。Javaのファイル監視とロックの差。</t>
        </is>
      </c>
      <c r="C15" s="11" t="inlineStr">
        <is>
          <t>今回のデメリットはここに集中します。</t>
        </is>
      </c>
      <c r="D15" s="11" t="inlineStr">
        <is>
          <t>ライフサイクルでIAへ落とすと、ログを読むバッチがさらに遅くなります。</t>
        </is>
      </c>
    </row>
    <row r="16" ht="56" customHeight="1">
      <c r="A16" s="12" t="inlineStr">
        <is>
          <t>デメリット</t>
        </is>
      </c>
      <c r="B16" s="13" t="inlineStr">
        <is>
          <t>Standardの保管単価がgp3の約3.75倍。読み0.04、書き0.07 USD/GBが別途。</t>
        </is>
      </c>
      <c r="C16" s="13" t="inlineStr">
        <is>
          <t>一時領域は読んだ量と書いた量が両方乗ります。</t>
        </is>
      </c>
      <c r="D16" s="13" t="inlineStr">
        <is>
          <t>見積は実バイトではなく、計測バイトで行います。</t>
        </is>
      </c>
    </row>
    <row r="17" ht="56" customHeight="1">
      <c r="A17" s="10" t="inlineStr">
        <is>
          <t>向く仕事</t>
        </is>
      </c>
      <c r="B17" s="11" t="inlineStr">
        <is>
          <t>複数ノードの共有ホーム、コンテンツ、大規模な順次読み、Batchの入出力でPOSIXがどうしても必要、という仕事。</t>
        </is>
      </c>
      <c r="C17" s="11" t="inlineStr">
        <is>
          <t>当初のBatch案の入出力には向いていました。</t>
        </is>
      </c>
      <c r="D17" s="11" t="inlineStr">
        <is>
          <t>ログ収集の代替には、オブジェクトストレージやログ基盤の方が運用が単純です。</t>
        </is>
      </c>
    </row>
    <row r="18" ht="24" customHeight="1">
      <c r="A18" s="6" t="inlineStr">
        <is>
          <t>一文ずつの対比</t>
        </is>
      </c>
      <c r="B18" s="6" t="n"/>
      <c r="C18" s="6" t="n"/>
      <c r="D18" s="6" t="n"/>
    </row>
    <row r="19" ht="32" customHeight="1">
      <c r="A19" s="7" t="inlineStr">
        <is>
          <t>観点</t>
        </is>
      </c>
      <c r="B19" s="7" t="inlineStr">
        <is>
          <t>EBSが担うこと</t>
        </is>
      </c>
      <c r="C19" s="7" t="inlineStr">
        <is>
          <t>EFSが担うこと</t>
        </is>
      </c>
      <c r="D19" s="7" t="inlineStr">
        <is>
          <t>今回の担当</t>
        </is>
      </c>
    </row>
    <row r="20" ht="32" customHeight="1">
      <c r="A20" s="10" t="inlineStr">
        <is>
          <t>永続化の単位</t>
        </is>
      </c>
      <c r="B20" s="11" t="inlineStr">
        <is>
          <t>1台のディスクを、その台より長生きさせる</t>
        </is>
      </c>
      <c r="C20" s="11" t="inlineStr">
        <is>
          <t>ファイルを、どの台からでも同じ場所に置く</t>
        </is>
      </c>
      <c r="D20" s="11" t="inlineStr">
        <is>
          <t>EBS</t>
        </is>
      </c>
    </row>
    <row r="21" ht="32" customHeight="1">
      <c r="A21" s="12" t="inlineStr">
        <is>
          <t>性能の単位</t>
        </is>
      </c>
      <c r="B21" s="13" t="inlineStr">
        <is>
          <t>1台からの短い遅延と、専用の太さ</t>
        </is>
      </c>
      <c r="C21" s="13" t="inlineStr">
        <is>
          <t>たくさんの台を合わせた全体の太さ</t>
        </is>
      </c>
      <c r="D21" s="13" t="inlineStr">
        <is>
          <t>EBS</t>
        </is>
      </c>
    </row>
    <row r="22" ht="32" customHeight="1">
      <c r="A22" s="10" t="inlineStr">
        <is>
          <t>お金の単位</t>
        </is>
      </c>
      <c r="B22" s="11" t="inlineStr">
        <is>
          <t>確保した器</t>
        </is>
      </c>
      <c r="C22" s="11" t="inlineStr">
        <is>
          <t>置いた量と、運んだ量</t>
        </is>
      </c>
      <c r="D22" s="11" t="inlineStr">
        <is>
          <t>器の方が読みやすい</t>
        </is>
      </c>
    </row>
    <row r="23" ht="32" customHeight="1">
      <c r="A23" s="12" t="inlineStr">
        <is>
          <t>失敗の単位</t>
        </is>
      </c>
      <c r="B23" s="13" t="inlineStr">
        <is>
          <t>器がいっぱいになると止まる</t>
        </is>
      </c>
      <c r="C23" s="13" t="inlineStr">
        <is>
          <t>器は止まらず、請求が増える</t>
        </is>
      </c>
      <c r="D23" s="13" t="inlineStr">
        <is>
          <t>バッチは止まる方が安全</t>
        </is>
      </c>
    </row>
    <row r="24" ht="32" customHeight="1">
      <c r="A24" s="10" t="inlineStr">
        <is>
          <t>障害の単位</t>
        </is>
      </c>
      <c r="B24" s="11" t="inlineStr">
        <is>
          <t>AZの中でディスクを守る</t>
        </is>
      </c>
      <c r="C24" s="11" t="inlineStr">
        <is>
          <t>リージョンの複数AZでファイルを守る</t>
        </is>
      </c>
      <c r="D24" s="11" t="inlineStr">
        <is>
          <t>ファイルの生存は転送先が担う</t>
        </is>
      </c>
    </row>
  </sheetData>
  <mergeCells count="5">
    <mergeCell ref="A1:D1"/>
    <mergeCell ref="A18:D18"/>
    <mergeCell ref="A4:D4"/>
    <mergeCell ref="A2:D2"/>
    <mergeCell ref="A11:D11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09 向き不向き&amp;C&amp;R&amp;"Meiryo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30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2" customWidth="1" min="1" max="1"/>
    <col width="36" customWidth="1" min="2" max="2"/>
    <col width="50" customWidth="1" min="3" max="3"/>
    <col width="46" customWidth="1" min="4" max="4"/>
  </cols>
  <sheetData>
    <row r="1" ht="32" customHeight="1">
      <c r="A1" s="14" t="inlineStr">
        <is>
          <t>推奨する置き方。測るまで性能は買い足さない</t>
        </is>
      </c>
      <c r="B1" s="15" t="n"/>
      <c r="C1" s="15" t="n"/>
      <c r="D1" s="15" t="n"/>
    </row>
    <row r="2" ht="24" customHeight="1">
      <c r="A2" s="3" t="inlineStr">
        <is>
          <t>ルート、ログ、一時領域を分けます。ログはディスクに長く置かず、外へ転送します。</t>
        </is>
      </c>
      <c r="B2" s="4" t="n"/>
      <c r="C2" s="4" t="n"/>
      <c r="D2" s="4" t="n"/>
    </row>
    <row r="3">
      <c r="A3" s="5" t="n"/>
      <c r="B3" s="5" t="n"/>
      <c r="C3" s="5" t="n"/>
      <c r="D3" s="5" t="n"/>
    </row>
    <row r="4" ht="24" customHeight="1">
      <c r="A4" s="6" t="inlineStr">
        <is>
          <t>ボリューム</t>
        </is>
      </c>
      <c r="B4" s="6" t="n"/>
      <c r="C4" s="6" t="n"/>
      <c r="D4" s="6" t="n"/>
    </row>
    <row r="5" ht="32" customHeight="1">
      <c r="A5" s="7" t="inlineStr">
        <is>
          <t>マウント</t>
        </is>
      </c>
      <c r="B5" s="7" t="inlineStr">
        <is>
          <t>種別</t>
        </is>
      </c>
      <c r="C5" s="7" t="inlineStr">
        <is>
          <t>初期値の考え方</t>
        </is>
      </c>
      <c r="D5" s="7" t="inlineStr">
        <is>
          <t>理由</t>
        </is>
      </c>
    </row>
    <row r="6" ht="48" customHeight="1">
      <c r="A6" s="10" t="inlineStr">
        <is>
          <t>/</t>
        </is>
      </c>
      <c r="B6" s="11" t="inlineStr">
        <is>
          <t>gp3、暗号化、30から50GiB程度</t>
        </is>
      </c>
      <c r="C6" s="11" t="inlineStr">
        <is>
          <t>3,000 IOPS、125MiB/sのまま</t>
        </is>
      </c>
      <c r="D6" s="11" t="inlineStr">
        <is>
          <t>OSとアプリ。ログを書かせません。</t>
        </is>
      </c>
    </row>
    <row r="7" ht="48" customHeight="1">
      <c r="A7" s="8" t="inlineStr">
        <is>
          <t>/var/log/batch</t>
        </is>
      </c>
      <c r="B7" s="9" t="inlineStr">
        <is>
          <t>gp3、暗号化、保持日数から逆算</t>
        </is>
      </c>
      <c r="C7" s="9" t="inlineStr">
        <is>
          <t>まずは含まれる性能。キューが伸びたらIOPSを追加</t>
        </is>
      </c>
      <c r="D7" s="9" t="inlineStr">
        <is>
          <t>満杯でもルートは生き残ります。転送済みを削除します。</t>
        </is>
      </c>
    </row>
    <row r="8" ht="48" customHeight="1">
      <c r="A8" s="8" t="inlineStr">
        <is>
          <t>/data/batch/tmp</t>
        </is>
      </c>
      <c r="B8" s="9" t="inlineStr">
        <is>
          <t>gp3、暗号化、ピークの途中ファイルより大きく</t>
        </is>
      </c>
      <c r="C8" s="9" t="inlineStr">
        <is>
          <t>大きい順次があるときだけスループットを追加。ITの終日上限はインスタンスの312.5MB/s</t>
        </is>
      </c>
      <c r="D8" s="9" t="inlineStr">
        <is>
          <t>java.io.tmpdirをここへ向けます。定期削除を systemd-tmpfiles 等で行います。</t>
        </is>
      </c>
    </row>
    <row r="9" ht="48" customHeight="1">
      <c r="A9" s="12" t="inlineStr">
        <is>
          <t>スナップショット</t>
        </is>
      </c>
      <c r="B9" s="13" t="inlineStr">
        <is>
          <t>ルートは取得。一時領域は取得しない</t>
        </is>
      </c>
      <c r="C9" s="13" t="inlineStr">
        <is>
          <t>ログ巻は転送が本命。必要なら短い世代だけ</t>
        </is>
      </c>
      <c r="D9" s="13" t="inlineStr">
        <is>
          <t>下書きのスナップショットは費用だけが増えます。</t>
        </is>
      </c>
    </row>
    <row r="10" ht="24" customHeight="1">
      <c r="A10" s="6" t="inlineStr">
        <is>
          <t>ファイルシステムとJVM</t>
        </is>
      </c>
      <c r="B10" s="6" t="n"/>
      <c r="C10" s="6" t="n"/>
      <c r="D10" s="6" t="n"/>
    </row>
    <row r="11" ht="32" customHeight="1">
      <c r="A11" s="7" t="inlineStr">
        <is>
          <t>対象</t>
        </is>
      </c>
      <c r="B11" s="7" t="inlineStr">
        <is>
          <t>設定</t>
        </is>
      </c>
      <c r="C11" s="7" t="inlineStr">
        <is>
          <t>期待する効果</t>
        </is>
      </c>
      <c r="D11" s="7" t="inlineStr">
        <is>
          <t>やってはいけないこと</t>
        </is>
      </c>
    </row>
    <row r="12" ht="44" customHeight="1">
      <c r="A12" s="10" t="inlineStr">
        <is>
          <t>ファイルシステム</t>
        </is>
      </c>
      <c r="B12" s="11" t="inlineStr">
        <is>
          <t>xfsまたはext4。noatime。</t>
        </is>
      </c>
      <c r="C12" s="11" t="inlineStr">
        <is>
          <t>読むたびに更新日時を書く無駄が消える</t>
        </is>
      </c>
      <c r="D12" s="11" t="inlineStr">
        <is>
          <t>一時領域をnoexecにする前に、JNIの展開先を確認する</t>
        </is>
      </c>
    </row>
    <row r="13" ht="44" customHeight="1">
      <c r="A13" s="12" t="inlineStr">
        <is>
          <t>ログ</t>
        </is>
      </c>
      <c r="B13" s="13" t="inlineStr">
        <is>
          <t>バッファしてまとめて書く。可能なら非同期アペンダ。転送エージェントはローカルを読む</t>
        </is>
      </c>
      <c r="C13" s="13" t="inlineStr">
        <is>
          <t>行ごとの往復を作らない。EBSでも効く</t>
        </is>
      </c>
      <c r="D13" s="13" t="inlineStr">
        <is>
          <t>同期フラッシュを既定のまま58本にさせない</t>
        </is>
      </c>
    </row>
    <row r="14" ht="44" customHeight="1">
      <c r="A14" s="10" t="inlineStr">
        <is>
          <t>一時</t>
        </is>
      </c>
      <c r="B14" s="11" t="inlineStr">
        <is>
          <t>-Djava.io.tmpdir=/data/batch/tmp</t>
        </is>
      </c>
      <c r="C14" s="11" t="inlineStr">
        <is>
          <t>OSの/tmpとルートを埋めない</t>
        </is>
      </c>
      <c r="D14" s="11" t="inlineStr">
        <is>
          <t>tmpdirをEFSやNFSに向けない</t>
        </is>
      </c>
    </row>
    <row r="15" ht="44" customHeight="1">
      <c r="A15" s="12" t="inlineStr">
        <is>
          <t>満杯</t>
        </is>
      </c>
      <c r="B15" s="13" t="inlineStr">
        <is>
          <t>使用率のCloudWatchアラーム。80%で通知、90%でジョブ投入を止める基準を決める</t>
        </is>
      </c>
      <c r="C15" s="13" t="inlineStr">
        <is>
          <t>ENOSPCの前に気づく</t>
        </is>
      </c>
      <c r="D15" s="13" t="inlineStr">
        <is>
          <t>アラームなしで小さい巻を置かない</t>
        </is>
      </c>
    </row>
    <row r="16" ht="44" customHeight="1">
      <c r="A16" s="10" t="inlineStr">
        <is>
          <t>権限</t>
        </is>
      </c>
      <c r="B16" s="11" t="inlineStr">
        <is>
          <t>バッチユーザだけが書ける。他のJVMの一時ファイルを共有する必要があれば、そのディレクトリだけを明示する</t>
        </is>
      </c>
      <c r="C16" s="11" t="inlineStr">
        <is>
          <t>事故の範囲が分かれる</t>
        </is>
      </c>
      <c r="D16" s="11" t="inlineStr">
        <is>
          <t>全JVMが世界中から書き込めるパーミッションにしない</t>
        </is>
      </c>
    </row>
    <row r="17" ht="24" customHeight="1">
      <c r="A17" s="6" t="inlineStr">
        <is>
          <t>本番前に測ること</t>
        </is>
      </c>
      <c r="B17" s="6" t="n"/>
      <c r="C17" s="6" t="n"/>
      <c r="D17" s="6" t="n"/>
    </row>
    <row r="18" ht="32" customHeight="1">
      <c r="A18" s="7" t="inlineStr">
        <is>
          <t>順番</t>
        </is>
      </c>
      <c r="B18" s="7" t="inlineStr">
        <is>
          <t>見ること</t>
        </is>
      </c>
      <c r="C18" s="7" t="inlineStr">
        <is>
          <t>EBSで見る値</t>
        </is>
      </c>
      <c r="D18" s="7" t="inlineStr">
        <is>
          <t>EFSを試験するなら追加で見ること</t>
        </is>
      </c>
    </row>
    <row r="19" ht="36" customHeight="1">
      <c r="A19" s="10" t="inlineStr">
        <is>
          <t>1</t>
        </is>
      </c>
      <c r="B19" s="11" t="inlineStr">
        <is>
          <t>今のディスク</t>
        </is>
      </c>
      <c r="C19" s="11" t="inlineStr">
        <is>
          <t>iostatのawait、%util、書き込み量。どのJVMが書いているか</t>
        </is>
      </c>
      <c r="D19" s="11" t="inlineStr">
        <is>
          <t>試験マウントは本番パスにしない</t>
        </is>
      </c>
    </row>
    <row r="20" ht="36" customHeight="1">
      <c r="A20" s="12" t="inlineStr">
        <is>
          <t>2</t>
        </is>
      </c>
      <c r="B20" s="13" t="inlineStr">
        <is>
          <t>ITのクレジット</t>
        </is>
      </c>
      <c r="C20" s="13" t="inlineStr">
        <is>
          <t>EBSIOBalance% と EBSByteBalance%。ベースラインへ落ちる時刻</t>
        </is>
      </c>
      <c r="D20" s="13" t="inlineStr">
        <is>
          <t>ネットワークのクレジットと、EFS転送が同時に落ちないか</t>
        </is>
      </c>
    </row>
    <row r="21" ht="36" customHeight="1">
      <c r="A21" s="10" t="inlineStr">
        <is>
          <t>3</t>
        </is>
      </c>
      <c r="B21" s="11" t="inlineStr">
        <is>
          <t>バッチ時間</t>
        </is>
      </c>
      <c r="C21" s="11" t="inlineStr">
        <is>
          <t>同じ入力での所要時間と、失敗率</t>
        </is>
      </c>
      <c r="D21" s="11" t="inlineStr">
        <is>
          <t>stunnelまたはEFSクライアントプロセスのCPU</t>
        </is>
      </c>
    </row>
    <row r="22" ht="36" customHeight="1">
      <c r="A22" s="12" t="inlineStr">
        <is>
          <t>4</t>
        </is>
      </c>
      <c r="B22" s="13" t="inlineStr">
        <is>
          <t>ログの形</t>
        </is>
      </c>
      <c r="C22" s="13" t="inlineStr">
        <is>
          <t>1秒のwrite回数と、1回のバイト数</t>
        </is>
      </c>
      <c r="D22" s="13" t="inlineStr">
        <is>
          <t>MeteredIOBytes と TotalIOBytes の差。差が大きいほど最低サイズの影響</t>
        </is>
      </c>
    </row>
    <row r="23" ht="36" customHeight="1">
      <c r="A23" s="10" t="inlineStr">
        <is>
          <t>5</t>
        </is>
      </c>
      <c r="B23" s="11" t="inlineStr">
        <is>
          <t>一時ファイル</t>
        </is>
      </c>
      <c r="C23" s="11" t="inlineStr">
        <is>
          <t>ピーク容量、ファイル数、作成と削除の回数</t>
        </is>
      </c>
      <c r="D23" s="11" t="inlineStr">
        <is>
          <t>PercentIOLimit、MetadataIOBytes、ClientConnections</t>
        </is>
      </c>
    </row>
    <row r="24" ht="24" customHeight="1">
      <c r="A24" s="6" t="inlineStr">
        <is>
          <t>EFSを開いてよい条件。全部そろったディレクトリだけ</t>
        </is>
      </c>
      <c r="B24" s="6" t="n"/>
      <c r="C24" s="6" t="n"/>
      <c r="D24" s="6" t="n"/>
    </row>
    <row r="25" ht="32" customHeight="1">
      <c r="A25" s="7" t="inlineStr">
        <is>
          <t>番号</t>
        </is>
      </c>
      <c r="B25" s="7" t="inlineStr">
        <is>
          <t>条件</t>
        </is>
      </c>
      <c r="C25" s="7" t="inlineStr">
        <is>
          <t>理由</t>
        </is>
      </c>
      <c r="D25" s="7" t="inlineStr">
        <is>
          <t>それでも残すもの</t>
        </is>
      </c>
    </row>
    <row r="26" ht="36" customHeight="1">
      <c r="A26" s="10" t="inlineStr">
        <is>
          <t>1</t>
        </is>
      </c>
      <c r="B26" s="11" t="inlineStr">
        <is>
          <t>2台以上のEC2が、同じファイルを同時に読み書きする仕様がある</t>
        </is>
      </c>
      <c r="C26" s="11" t="inlineStr">
        <is>
          <t>共有がEFSの存在理由です</t>
        </is>
      </c>
      <c r="D26" s="11" t="inlineStr">
        <is>
          <t>一時領域は各台のEBS</t>
        </is>
      </c>
    </row>
    <row r="27" ht="36" customHeight="1">
      <c r="A27" s="12" t="inlineStr">
        <is>
          <t>2</t>
        </is>
      </c>
      <c r="B27" s="13" t="inlineStr">
        <is>
          <t>S3やキューへ変える改修が、そのディレクトリには間に合わない</t>
        </is>
      </c>
      <c r="C27" s="13" t="inlineStr">
        <is>
          <t>Batchをやめた理由と同じ制約が、その部分だけ残っている</t>
        </is>
      </c>
      <c r="D27" s="13" t="inlineStr">
        <is>
          <t>新規のログは転送</t>
        </is>
      </c>
    </row>
    <row r="28" ht="36" customHeight="1">
      <c r="A28" s="10" t="inlineStr">
        <is>
          <t>3</t>
        </is>
      </c>
      <c r="B28" s="11" t="inlineStr">
        <is>
          <t>大きいファイルの順次アクセスが中心で、作成と削除の嵐ではない</t>
        </is>
      </c>
      <c r="C28" s="11" t="inlineStr">
        <is>
          <t>メタデータ遅延を避けられる</t>
        </is>
      </c>
      <c r="D28" s="11" t="inlineStr">
        <is>
          <t>行ごとの同期ログは置かない</t>
        </is>
      </c>
    </row>
    <row r="29" ht="36" customHeight="1">
      <c r="A29" s="12" t="inlineStr">
        <is>
          <t>4</t>
        </is>
      </c>
      <c r="B29" s="13" t="inlineStr">
        <is>
          <t>CPUに、暗号化とNFSの測定済みの余白がある</t>
        </is>
      </c>
      <c r="C29" s="13" t="inlineStr">
        <is>
          <t>90%超のまま載せない</t>
        </is>
      </c>
      <c r="D29" s="13" t="inlineStr">
        <is>
          <t>余白がなければインスタンスを上げてから</t>
        </is>
      </c>
    </row>
    <row r="30" ht="36" customHeight="1">
      <c r="A30" s="10" t="inlineStr">
        <is>
          <t>5</t>
        </is>
      </c>
      <c r="B30" s="11" t="inlineStr">
        <is>
          <t>同じAZのマウントターゲット、General Purpose、Standard、ライフサイクルなし</t>
        </is>
      </c>
      <c r="C30" s="11" t="inlineStr">
        <is>
          <t>遅延と料金の最悪を自分で作らない</t>
        </is>
      </c>
      <c r="D30" s="11" t="inlineStr">
        <is>
          <t>Elasticの日次転送量にアラーム</t>
        </is>
      </c>
    </row>
  </sheetData>
  <mergeCells count="6">
    <mergeCell ref="A1:D1"/>
    <mergeCell ref="A17:D17"/>
    <mergeCell ref="A4:D4"/>
    <mergeCell ref="A24:D24"/>
    <mergeCell ref="A2:D2"/>
    <mergeCell ref="A10:D10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10 推奨&amp;C&amp;R&amp;"Meiryo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P43"/>
  <sheetViews>
    <sheetView showGridLines="0" view="normal" zoomScale="100" zoomScaleNormal="110" workbookViewId="0">
      <pane ySplit="13" topLeftCell="A14" activePane="bottomLeft" state="frozen"/>
      <selection pane="bottomLeft" activeCell="A1" sqref="A1"/>
    </sheetView>
  </sheetViews>
  <sheetFormatPr baseColWidth="8" defaultRowHeight="18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</cols>
  <sheetData>
    <row r="1" ht="32" customHeight="1">
      <c r="A1" s="14" t="inlineStr">
        <is>
          <t>料金試算。太枠のセルだけ入力できます。数式が再計算します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5" t="n"/>
    </row>
    <row r="2" ht="28" customHeight="1">
      <c r="A2" s="16" t="inlineStr">
        <is>
          <t>単価はアジアパシフィック（東京）、税別。EFSは2026-09-11公表の価格表（適用2025-09-01）。EBSは2026-10-12取得の公開価格。仮定の量であり、実測ではありません。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4" customHeight="1">
      <c r="A4" s="6" t="inlineStr">
        <is>
          <t>単価（入力可）。B5からB10の太枠が単価です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5" t="n"/>
    </row>
    <row r="5" ht="22" customHeight="1">
      <c r="A5" s="18" t="inlineStr">
        <is>
          <t>EBS gp3 USD/GB月</t>
        </is>
      </c>
      <c r="B5" s="19" t="n">
        <v>0.096</v>
      </c>
      <c r="C5" s="20" t="inlineStr">
        <is>
          <t>確保容量</t>
        </is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5" t="n"/>
    </row>
    <row r="6" ht="22" customHeight="1">
      <c r="A6" s="18" t="inlineStr">
        <is>
          <t>EBS 追加IOPS USD/IOPS月</t>
        </is>
      </c>
      <c r="B6" s="19" t="n">
        <v>0.006</v>
      </c>
      <c r="C6" s="20" t="inlineStr">
        <is>
          <t>3,000を超えた分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5" t="n"/>
    </row>
    <row r="7" ht="22" customHeight="1">
      <c r="A7" s="18" t="inlineStr">
        <is>
          <t>EBS 追加MiB/s USD/月</t>
        </is>
      </c>
      <c r="B7" s="19" t="n">
        <v>0.048</v>
      </c>
      <c r="C7" s="20" t="inlineStr">
        <is>
          <t>125を超えた分。49.152 USD/GiBps月と一致</t>
        </is>
      </c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5" t="n"/>
    </row>
    <row r="8" ht="22" customHeight="1">
      <c r="A8" s="18" t="inlineStr">
        <is>
          <t>EFS Standard USD/GB月</t>
        </is>
      </c>
      <c r="B8" s="19" t="n">
        <v>0.36</v>
      </c>
      <c r="C8" s="20" t="inlineStr">
        <is>
          <t>Regional。Elasticでも保管単価はこれ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5" t="n"/>
    </row>
    <row r="9" ht="22" customHeight="1">
      <c r="A9" s="18" t="inlineStr">
        <is>
          <t>EFS Elastic 読み USD/GB</t>
        </is>
      </c>
      <c r="B9" s="19" t="n">
        <v>0.04</v>
      </c>
      <c r="C9" s="20" t="inlineStr">
        <is>
          <t>転送GB。最低32KiBのあと</t>
        </is>
      </c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5" t="n"/>
    </row>
    <row r="10" ht="22" customHeight="1">
      <c r="A10" s="18" t="inlineStr">
        <is>
          <t>EFS Elastic 書き USD/GB</t>
        </is>
      </c>
      <c r="B10" s="19" t="n">
        <v>0.07000000000000001</v>
      </c>
      <c r="C10" s="20" t="inlineStr">
        <is>
          <t>転送GB。メタデータ書きも書き込み側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 ht="24" customHeight="1">
      <c r="A12" s="6" t="inlineStr">
        <is>
          <t>シナリオ。B列からG列が入力。H列以降が数式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5" t="n"/>
    </row>
    <row r="13" ht="32" customHeight="1">
      <c r="A13" s="7" t="inlineStr">
        <is>
          <t>シナリオ</t>
        </is>
      </c>
      <c r="B13" s="7" t="inlineStr">
        <is>
          <t>保管GB</t>
        </is>
      </c>
      <c r="C13" s="7" t="inlineStr">
        <is>
          <t>書込GB/日</t>
        </is>
      </c>
      <c r="D13" s="7" t="inlineStr">
        <is>
          <t>読出GB/日</t>
        </is>
      </c>
      <c r="E13" s="7" t="inlineStr">
        <is>
          <t>日数</t>
        </is>
      </c>
      <c r="F13" s="7" t="inlineStr">
        <is>
          <t>追加MiB/s</t>
        </is>
      </c>
      <c r="G13" s="7" t="inlineStr">
        <is>
          <t>追加IOPS</t>
        </is>
      </c>
      <c r="H13" s="7" t="inlineStr">
        <is>
          <t>EBS保管</t>
        </is>
      </c>
      <c r="I13" s="7" t="inlineStr">
        <is>
          <t>EBSスループット</t>
        </is>
      </c>
      <c r="J13" s="7" t="inlineStr">
        <is>
          <t>EBS IOPS</t>
        </is>
      </c>
      <c r="K13" s="7" t="inlineStr">
        <is>
          <t>EBS合計</t>
        </is>
      </c>
      <c r="L13" s="7" t="inlineStr">
        <is>
          <t>EFS保管</t>
        </is>
      </c>
      <c r="M13" s="7" t="inlineStr">
        <is>
          <t>EFS書込</t>
        </is>
      </c>
      <c r="N13" s="7" t="inlineStr">
        <is>
          <t>EFS読出</t>
        </is>
      </c>
      <c r="O13" s="7" t="inlineStr">
        <is>
          <t>EFS合計</t>
        </is>
      </c>
      <c r="P13" s="7" t="inlineStr">
        <is>
          <t>EFS÷EBS</t>
        </is>
      </c>
    </row>
    <row r="14" ht="24" customHeight="1">
      <c r="A14" s="10" t="inlineStr">
        <is>
          <t>保管だけ 500GB</t>
        </is>
      </c>
      <c r="B14" s="21" t="n">
        <v>500</v>
      </c>
      <c r="C14" s="21" t="n">
        <v>0</v>
      </c>
      <c r="D14" s="21" t="n">
        <v>0</v>
      </c>
      <c r="E14" s="21" t="n">
        <v>30</v>
      </c>
      <c r="F14" s="21" t="n">
        <v>0</v>
      </c>
      <c r="G14" s="21" t="n">
        <v>0</v>
      </c>
      <c r="H14" s="22">
        <f>B14*$B$5</f>
        <v/>
      </c>
      <c r="I14" s="22">
        <f>F14*$B$7</f>
        <v/>
      </c>
      <c r="J14" s="22">
        <f>G14*$B$6</f>
        <v/>
      </c>
      <c r="K14" s="22">
        <f>H14+I14+J14</f>
        <v/>
      </c>
      <c r="L14" s="22">
        <f>B14*$B$8</f>
        <v/>
      </c>
      <c r="M14" s="22">
        <f>C14*E14*$B$10</f>
        <v/>
      </c>
      <c r="N14" s="22">
        <f>D14*E14*$B$9</f>
        <v/>
      </c>
      <c r="O14" s="22">
        <f>L14+M14+N14</f>
        <v/>
      </c>
      <c r="P14" s="23">
        <f>IF(K14=0,"",O14/K14)</f>
        <v/>
      </c>
    </row>
    <row r="15" ht="24" customHeight="1">
      <c r="A15" s="12" t="inlineStr">
        <is>
          <t>ログ軽め</t>
        </is>
      </c>
      <c r="B15" s="24" t="n">
        <v>100</v>
      </c>
      <c r="C15" s="24" t="n">
        <v>20</v>
      </c>
      <c r="D15" s="24" t="n">
        <v>5</v>
      </c>
      <c r="E15" s="24" t="n">
        <v>30</v>
      </c>
      <c r="F15" s="24" t="n">
        <v>0</v>
      </c>
      <c r="G15" s="24" t="n">
        <v>0</v>
      </c>
      <c r="H15" s="22">
        <f>B15*$B$5</f>
        <v/>
      </c>
      <c r="I15" s="22">
        <f>F15*$B$7</f>
        <v/>
      </c>
      <c r="J15" s="22">
        <f>G15*$B$6</f>
        <v/>
      </c>
      <c r="K15" s="22">
        <f>H15+I15+J15</f>
        <v/>
      </c>
      <c r="L15" s="22">
        <f>B15*$B$8</f>
        <v/>
      </c>
      <c r="M15" s="22">
        <f>C15*E15*$B$10</f>
        <v/>
      </c>
      <c r="N15" s="22">
        <f>D15*E15*$B$9</f>
        <v/>
      </c>
      <c r="O15" s="22">
        <f>L15+M15+N15</f>
        <v/>
      </c>
      <c r="P15" s="23">
        <f>IF(K15=0,"",O15/K15)</f>
        <v/>
      </c>
    </row>
    <row r="16" ht="24" customHeight="1">
      <c r="A16" s="10" t="inlineStr">
        <is>
          <t>一時領域 ふつう</t>
        </is>
      </c>
      <c r="B16" s="21" t="n">
        <v>300</v>
      </c>
      <c r="C16" s="21" t="n">
        <v>200</v>
      </c>
      <c r="D16" s="21" t="n">
        <v>200</v>
      </c>
      <c r="E16" s="21" t="n">
        <v>30</v>
      </c>
      <c r="F16" s="21" t="n">
        <v>0</v>
      </c>
      <c r="G16" s="21" t="n">
        <v>0</v>
      </c>
      <c r="H16" s="22">
        <f>B16*$B$5</f>
        <v/>
      </c>
      <c r="I16" s="22">
        <f>F16*$B$7</f>
        <v/>
      </c>
      <c r="J16" s="22">
        <f>G16*$B$6</f>
        <v/>
      </c>
      <c r="K16" s="22">
        <f>H16+I16+J16</f>
        <v/>
      </c>
      <c r="L16" s="22">
        <f>B16*$B$8</f>
        <v/>
      </c>
      <c r="M16" s="22">
        <f>C16*E16*$B$10</f>
        <v/>
      </c>
      <c r="N16" s="22">
        <f>D16*E16*$B$9</f>
        <v/>
      </c>
      <c r="O16" s="22">
        <f>L16+M16+N16</f>
        <v/>
      </c>
      <c r="P16" s="23">
        <f>IF(K16=0,"",O16/K16)</f>
        <v/>
      </c>
    </row>
    <row r="17" ht="24" customHeight="1">
      <c r="A17" s="12" t="inlineStr">
        <is>
          <t>一時領域 重い</t>
        </is>
      </c>
      <c r="B17" s="24" t="n">
        <v>1000</v>
      </c>
      <c r="C17" s="24" t="n">
        <v>1000</v>
      </c>
      <c r="D17" s="24" t="n">
        <v>1000</v>
      </c>
      <c r="E17" s="24" t="n">
        <v>30</v>
      </c>
      <c r="F17" s="24" t="n">
        <v>375</v>
      </c>
      <c r="G17" s="24" t="n">
        <v>9000</v>
      </c>
      <c r="H17" s="22">
        <f>B17*$B$5</f>
        <v/>
      </c>
      <c r="I17" s="22">
        <f>F17*$B$7</f>
        <v/>
      </c>
      <c r="J17" s="22">
        <f>G17*$B$6</f>
        <v/>
      </c>
      <c r="K17" s="22">
        <f>H17+I17+J17</f>
        <v/>
      </c>
      <c r="L17" s="22">
        <f>B17*$B$8</f>
        <v/>
      </c>
      <c r="M17" s="22">
        <f>C17*E17*$B$10</f>
        <v/>
      </c>
      <c r="N17" s="22">
        <f>D17*E17*$B$9</f>
        <v/>
      </c>
      <c r="O17" s="22">
        <f>L17+M17+N17</f>
        <v/>
      </c>
      <c r="P17" s="23">
        <f>IF(K17=0,"",O17/K17)</f>
        <v/>
      </c>
    </row>
    <row r="18" ht="24" customHeight="1">
      <c r="A18" s="8" t="inlineStr">
        <is>
          <t>あなたの数字</t>
        </is>
      </c>
      <c r="B18" s="25" t="n">
        <v>200</v>
      </c>
      <c r="C18" s="25" t="n">
        <v>50</v>
      </c>
      <c r="D18" s="25" t="n">
        <v>50</v>
      </c>
      <c r="E18" s="25" t="n">
        <v>30</v>
      </c>
      <c r="F18" s="25" t="n">
        <v>0</v>
      </c>
      <c r="G18" s="25" t="n">
        <v>0</v>
      </c>
      <c r="H18" s="22">
        <f>B18*$B$5</f>
        <v/>
      </c>
      <c r="I18" s="22">
        <f>F18*$B$7</f>
        <v/>
      </c>
      <c r="J18" s="22">
        <f>G18*$B$6</f>
        <v/>
      </c>
      <c r="K18" s="22">
        <f>H18+I18+J18</f>
        <v/>
      </c>
      <c r="L18" s="22">
        <f>B18*$B$8</f>
        <v/>
      </c>
      <c r="M18" s="22">
        <f>C18*E18*$B$10</f>
        <v/>
      </c>
      <c r="N18" s="22">
        <f>D18*E18*$B$9</f>
        <v/>
      </c>
      <c r="O18" s="22">
        <f>L18+M18+N18</f>
        <v/>
      </c>
      <c r="P18" s="23">
        <f>IF(K18=0,"",O18/K18)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 ht="24" customHeight="1">
      <c r="A20" s="6" t="inlineStr">
        <is>
          <t>この表の読み方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5" t="n"/>
    </row>
    <row r="21" ht="28" customHeight="1">
      <c r="A21" s="11" t="inlineStr">
        <is>
          <t>保管だけ500GBでも、EFS StandardはEBS gp3の3.75倍です。0.36÷0.096=3.75。転送がゼロでも差はここから始まります。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</row>
    <row r="22" ht="28" customHeight="1">
      <c r="A22" s="13" t="inlineStr">
        <is>
          <t>ログ軽めは、保管100GB、1日20GB書き込み、5GB読み出し、30日です。EFSは保管36USDに加え、書き込み42USD、読み出し6USDで、合計84USDです。EBSは9.60USDです。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 ht="28" customHeight="1">
      <c r="A23" s="11" t="inlineStr">
        <is>
          <t>一時領域ふつうは、保管300GB、読み書き各200GB/日です。EFSは保管108、書き込み420、読み出し240、合計768USDです。EBSは28.80USDです。約26.7倍です。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</row>
    <row r="24" ht="28" customHeight="1">
      <c r="A24" s="13" t="inlineStr">
        <is>
          <t>重い例は、読み書き各1TB/日に加え、gp3を500MiB/s（追加375）と12,000 IOPS（追加9,000）まで買った場合です。EBSは168USD、EFSは3,660USDです。性能を買っても桁は戻ります。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 ht="28" customHeight="1">
      <c r="A25" s="11" t="inlineStr">
        <is>
          <t>この表のEFSは実バイトで計算しています。データ操作の最低32KiBが効くと、書き込み料金はさらに増えます。下の例を見てください。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</row>
    <row r="26" ht="28" customHeight="1">
      <c r="A26" s="13" t="inlineStr">
        <is>
          <t>追加MiB/sの375は、125から500へ上げる差分です。追加IOPSの9,000は、3,000から12,000への差分です。c7a.2xlargeの終日EBSは12,000 IOPS、312.5MB/sが天井です。500MiB/sはバースト枠です。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 ht="28" customHeight="1">
      <c r="A27" s="11" t="inlineStr">
        <is>
          <t>消費税は含みません。クロスAZのデータ転送0.01 USD/GBも、EFSを別AZのマウントターゲットで使ったときだけ別途です。同じAZならこの転送料はかかりません。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</row>
    <row r="28" ht="28" customHeight="1">
      <c r="A28" s="13" t="inlineStr">
        <is>
          <t>あなたの数字の行を書き換えてください。単価が改定されたら、上の太枠の単価も書き換えてください。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 ht="24" customHeight="1">
      <c r="A30" s="6" t="inlineStr">
        <is>
          <t>小さい書き込みを32KiBで数えた場合の別計算。シナリオには含めていません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5" t="n"/>
    </row>
    <row r="31" ht="32" customHeight="1">
      <c r="A31" s="7" t="inlineStr">
        <is>
          <t>項目</t>
        </is>
      </c>
      <c r="B31" s="7" t="inlineStr">
        <is>
          <t>値</t>
        </is>
      </c>
      <c r="C31" s="7" t="inlineStr">
        <is>
          <t>式の意味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5" t="n"/>
    </row>
    <row r="32" ht="20" customHeight="1">
      <c r="A32" s="18" t="inlineStr">
        <is>
          <t>JVM数</t>
        </is>
      </c>
      <c r="B32" s="26" t="n">
        <v>58</v>
      </c>
      <c r="C32" s="20" t="inlineStr">
        <is>
          <t>入力</t>
        </is>
      </c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5" t="n"/>
    </row>
    <row r="33" ht="20" customHeight="1">
      <c r="A33" s="18" t="inlineStr">
        <is>
          <t>1JVMの1秒の行数</t>
        </is>
      </c>
      <c r="B33" s="26" t="n">
        <v>100</v>
      </c>
      <c r="C33" s="20" t="inlineStr">
        <is>
          <t>入力</t>
        </is>
      </c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5" t="n"/>
    </row>
    <row r="34" ht="20" customHeight="1">
      <c r="A34" s="18" t="inlineStr">
        <is>
          <t>1行のバイト</t>
        </is>
      </c>
      <c r="B34" s="26" t="n">
        <v>200</v>
      </c>
      <c r="C34" s="20" t="inlineStr">
        <is>
          <t>入力</t>
        </is>
      </c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5" t="n"/>
    </row>
    <row r="35" ht="20" customHeight="1">
      <c r="A35" s="18" t="inlineStr">
        <is>
          <t>1日の秒</t>
        </is>
      </c>
      <c r="B35" s="26" t="n">
        <v>7200</v>
      </c>
      <c r="C35" s="20" t="inlineStr">
        <is>
          <t>2時間。入力</t>
        </is>
      </c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5" t="n"/>
    </row>
    <row r="36" ht="20" customHeight="1">
      <c r="A36" s="18" t="inlineStr">
        <is>
          <t>最低計測バイト</t>
        </is>
      </c>
      <c r="B36" s="26" t="n">
        <v>32768</v>
      </c>
      <c r="C36" s="20" t="inlineStr">
        <is>
          <t>データ操作の最低32KiB。入力</t>
        </is>
      </c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5" t="n"/>
    </row>
    <row r="37" ht="22" customHeight="1">
      <c r="A37" s="27" t="inlineStr">
        <is>
          <t>実バイト/日</t>
        </is>
      </c>
      <c r="B37" s="28">
        <f>B32*B33*B34*B35</f>
        <v/>
      </c>
      <c r="C37" s="29" t="inlineStr">
        <is>
          <t>58×100×200×7200</t>
        </is>
      </c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5" t="n"/>
    </row>
    <row r="38" ht="22" customHeight="1">
      <c r="A38" s="27" t="inlineStr">
        <is>
          <t>実GiB/日</t>
        </is>
      </c>
      <c r="B38" s="28">
        <f>B37/1024/1024/1024</f>
        <v/>
      </c>
      <c r="C38" s="29" t="inlineStr">
        <is>
          <t>2の30乗で割った値</t>
        </is>
      </c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5" t="n"/>
    </row>
    <row r="39" ht="22" customHeight="1">
      <c r="A39" s="27" t="inlineStr">
        <is>
          <t>計測バイト/日</t>
        </is>
      </c>
      <c r="B39" s="28">
        <f>B32*B33*B36*B35</f>
        <v/>
      </c>
      <c r="C39" s="29" t="inlineStr">
        <is>
          <t>各行を32KiB以上とみなした上限側</t>
        </is>
      </c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5" t="n"/>
    </row>
    <row r="40" ht="22" customHeight="1">
      <c r="A40" s="27" t="inlineStr">
        <is>
          <t>計測GiB/日</t>
        </is>
      </c>
      <c r="B40" s="28">
        <f>B39/1024/1024/1024</f>
        <v/>
      </c>
      <c r="C40" s="29" t="inlineStr">
        <is>
          <t>請求GBの近似。AWSの切り上げとは完全一致しません</t>
        </is>
      </c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5" t="n"/>
    </row>
    <row r="41" ht="22" customHeight="1">
      <c r="A41" s="27" t="inlineStr">
        <is>
          <t>書き込みUSD/日</t>
        </is>
      </c>
      <c r="B41" s="28">
        <f>B40*$B$10</f>
        <v/>
      </c>
      <c r="C41" s="29" t="inlineStr">
        <is>
          <t>Elastic書き込み単価</t>
        </is>
      </c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5" t="n"/>
    </row>
    <row r="42" ht="22" customHeight="1">
      <c r="A42" s="27" t="inlineStr">
        <is>
          <t>書き込みUSD/30日</t>
        </is>
      </c>
      <c r="B42" s="28">
        <f>B41*30</f>
        <v/>
      </c>
      <c r="C42" s="29" t="inlineStr">
        <is>
          <t>毎日同じと仮定した月額の桁</t>
        </is>
      </c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5" t="n"/>
    </row>
    <row r="43" ht="32" customHeight="1">
      <c r="A43" s="20" t="inlineStr">
        <is>
          <t>この計算は、まとめ書きがまったく働かず、1行が1回のEFSデータ書き込みになった場合の上限側です。予測請求額として使わないでください。まとめ書きが働くEBSでは、この倍率は発生しません。</t>
        </is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</row>
  </sheetData>
  <autoFilter ref="A13:P18"/>
  <mergeCells count="15">
    <mergeCell ref="A12:O12"/>
    <mergeCell ref="A28:P28"/>
    <mergeCell ref="A20:O20"/>
    <mergeCell ref="A2:O2"/>
    <mergeCell ref="A43:P43"/>
    <mergeCell ref="A23:P23"/>
    <mergeCell ref="A27:P27"/>
    <mergeCell ref="A1:O1"/>
    <mergeCell ref="A22:P22"/>
    <mergeCell ref="A26:P26"/>
    <mergeCell ref="A21:P21"/>
    <mergeCell ref="A4:O4"/>
    <mergeCell ref="A25:P25"/>
    <mergeCell ref="A30:O30"/>
    <mergeCell ref="A24:P24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11 コスト&amp;C&amp;R&amp;"Meiryo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9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8" customWidth="1" min="1" max="1"/>
    <col width="40" customWidth="1" min="2" max="2"/>
    <col width="55" customWidth="1" min="3" max="3"/>
    <col width="40" customWidth="1" min="4" max="4"/>
  </cols>
  <sheetData>
    <row r="1" ht="32" customHeight="1">
      <c r="A1" s="14" t="inlineStr">
        <is>
          <t>レビューで止めること</t>
        </is>
      </c>
      <c r="B1" s="15" t="n"/>
      <c r="C1" s="15" t="n"/>
      <c r="D1" s="15" t="n"/>
    </row>
    <row r="2" ht="24" customHeight="1">
      <c r="A2" s="3" t="inlineStr">
        <is>
          <t>どれも、製品の禁止事項ではなく、このバッチで事故になりやすい組み合わせです。</t>
        </is>
      </c>
      <c r="B2" s="4" t="n"/>
      <c r="C2" s="4" t="n"/>
      <c r="D2" s="4" t="n"/>
    </row>
    <row r="3">
      <c r="A3" s="5" t="n"/>
      <c r="B3" s="5" t="n"/>
      <c r="C3" s="5" t="n"/>
      <c r="D3" s="5" t="n"/>
    </row>
    <row r="4" ht="24" customHeight="1">
      <c r="A4" s="6" t="inlineStr">
        <is>
          <t>一覧</t>
        </is>
      </c>
      <c r="B4" s="6" t="n"/>
      <c r="C4" s="6" t="n"/>
      <c r="D4" s="6" t="n"/>
    </row>
    <row r="5" ht="32" customHeight="1">
      <c r="A5" s="7" t="inlineStr">
        <is>
          <t>番号</t>
        </is>
      </c>
      <c r="B5" s="7" t="inlineStr">
        <is>
          <t>止めたいこと</t>
        </is>
      </c>
      <c r="C5" s="7" t="inlineStr">
        <is>
          <t>何が起きるか</t>
        </is>
      </c>
      <c r="D5" s="7" t="inlineStr">
        <is>
          <t>代わり</t>
        </is>
      </c>
    </row>
    <row r="6" ht="40" customHeight="1">
      <c r="A6" s="10" t="inlineStr">
        <is>
          <t>1</t>
        </is>
      </c>
      <c r="B6" s="11" t="inlineStr">
        <is>
          <t>ログと一時領域をEFSに置く</t>
        </is>
      </c>
      <c r="C6" s="11" t="inlineStr">
        <is>
          <t>遅延、CPU、帯域、料金が同時に不利になります。</t>
        </is>
      </c>
      <c r="D6" s="11" t="inlineStr">
        <is>
          <t>両方ともEBS gp3</t>
        </is>
      </c>
    </row>
    <row r="7" ht="40" customHeight="1">
      <c r="A7" s="12" t="inlineStr">
        <is>
          <t>2</t>
        </is>
      </c>
      <c r="B7" s="13" t="inlineStr">
        <is>
          <t>ルートボリュームにログと一時ファイルを書く</t>
        </is>
      </c>
      <c r="C7" s="13" t="inlineStr">
        <is>
          <t>満杯でsshやOSの動作が止まります。</t>
        </is>
      </c>
      <c r="D7" s="13" t="inlineStr">
        <is>
          <t>ボリュームを分ける</t>
        </is>
      </c>
    </row>
    <row r="8" ht="40" customHeight="1">
      <c r="A8" s="10" t="inlineStr">
        <is>
          <t>3</t>
        </is>
      </c>
      <c r="B8" s="11" t="inlineStr">
        <is>
          <t>io2やgp2を新規に選ぶ</t>
        </is>
      </c>
      <c r="C8" s="11" t="inlineStr">
        <is>
          <t>io2は今回の遅延要件に対して高い。gp2はクレジットと容量連動が残る。</t>
        </is>
      </c>
      <c r="D8" s="11" t="inlineStr">
        <is>
          <t>gp3</t>
        </is>
      </c>
    </row>
    <row r="9" ht="40" customHeight="1">
      <c r="A9" s="12" t="inlineStr">
        <is>
          <t>4</t>
        </is>
      </c>
      <c r="B9" s="13" t="inlineStr">
        <is>
          <t>EBSマルチアタッチをext4やxfsで共有する</t>
        </is>
      </c>
      <c r="C9" s="13" t="inlineStr">
        <is>
          <t>ファイルシステムが壊れます。</t>
        </is>
      </c>
      <c r="D9" s="13" t="inlineStr">
        <is>
          <t>共有が必要なら、そのディレクトリだけEFSか、アプリをS3へ変更</t>
        </is>
      </c>
    </row>
    <row r="10" ht="40" customHeight="1">
      <c r="A10" s="10" t="inlineStr">
        <is>
          <t>5</t>
        </is>
      </c>
      <c r="B10" s="11" t="inlineStr">
        <is>
          <t>c7a.2xlargeの12.5GbpsやEBS 1,250MB/sを終日の性能として設計する</t>
        </is>
      </c>
      <c r="C10" s="11" t="inlineStr">
        <is>
          <t>30分を超えるとEBSは312.5MB/sへ戻ります。ネットワークの最大はベストエフォートです。</t>
        </is>
      </c>
      <c r="D10" s="11" t="inlineStr">
        <is>
          <t>ベースラインで容量設計</t>
        </is>
      </c>
    </row>
    <row r="11" ht="40" customHeight="1">
      <c r="A11" s="12" t="inlineStr">
        <is>
          <t>6</t>
        </is>
      </c>
      <c r="B11" s="13" t="inlineStr">
        <is>
          <t>EFSのIAやArchiveへログをライフサイクルする</t>
        </is>
      </c>
      <c r="C11" s="13" t="inlineStr">
        <is>
          <t>読むとき数十ミリ秒になり、アクセス料も別です。小さいファイルは最低128KiB請求です。</t>
        </is>
      </c>
      <c r="D11" s="13" t="inlineStr">
        <is>
          <t>ログはStandardの期間を短くし、外へ転送して消す。EFSに置かない</t>
        </is>
      </c>
    </row>
    <row r="12" ht="40" customHeight="1">
      <c r="A12" s="10" t="inlineStr">
        <is>
          <t>7</t>
        </is>
      </c>
      <c r="B12" s="11" t="inlineStr">
        <is>
          <t>BurstingスループットのEFSを小さい容量で使う</t>
        </is>
      </c>
      <c r="C12" s="11" t="inlineStr">
        <is>
          <t>基準はStandard 1GiBあたり50KiBpsです。クレジットが切れると遅くなります。</t>
        </is>
      </c>
      <c r="D12" s="11" t="inlineStr">
        <is>
          <t>使うならElastic。ただし今回はEBS</t>
        </is>
      </c>
    </row>
    <row r="13" ht="40" customHeight="1">
      <c r="A13" s="12" t="inlineStr">
        <is>
          <t>8</t>
        </is>
      </c>
      <c r="B13" s="13" t="inlineStr">
        <is>
          <t>Max I/Oモードを選ぶ</t>
        </is>
      </c>
      <c r="C13" s="13" t="inlineStr">
        <is>
          <t>遅延が長く、Elasticでは使えません。AWSはGeneral Purposeを推奨しています。</t>
        </is>
      </c>
      <c r="D13" s="13" t="inlineStr">
        <is>
          <t>選ばない</t>
        </is>
      </c>
    </row>
    <row r="14" ht="40" customHeight="1">
      <c r="A14" s="10" t="inlineStr">
        <is>
          <t>9</t>
        </is>
      </c>
      <c r="B14" s="11" t="inlineStr">
        <is>
          <t>別AZのマウントターゲットを使う</t>
        </is>
      </c>
      <c r="C14" s="11" t="inlineStr">
        <is>
          <t>0.01 USD/GBが方向ごとに乗ることがあります。遅延も増えます。</t>
        </is>
      </c>
      <c r="D14" s="11" t="inlineStr">
        <is>
          <t>同じAZ</t>
        </is>
      </c>
    </row>
    <row r="15" ht="40" customHeight="1">
      <c r="A15" s="12" t="inlineStr">
        <is>
          <t>10</t>
        </is>
      </c>
      <c r="B15" s="13" t="inlineStr">
        <is>
          <t>起動の必須パスをEFSにする</t>
        </is>
      </c>
      <c r="C15" s="13" t="inlineStr">
        <is>
          <t>マウント失敗でバッチが起動しない、または空のローカルへ書いて消えます。</t>
        </is>
      </c>
      <c r="D15" s="13" t="inlineStr">
        <is>
          <t>ローカルEBSを必須パスにする</t>
        </is>
      </c>
    </row>
    <row r="16" ht="40" customHeight="1">
      <c r="A16" s="10" t="inlineStr">
        <is>
          <t>11</t>
        </is>
      </c>
      <c r="B16" s="11" t="inlineStr">
        <is>
          <t>行ごとの同期ログを58本出す</t>
        </is>
      </c>
      <c r="C16" s="11" t="inlineStr">
        <is>
          <t>EFSなら往復と32KiB課金。EBSでも不要なフラッシュは遅いです。</t>
        </is>
      </c>
      <c r="D16" s="11" t="inlineStr">
        <is>
          <t>バッファまたは非同期。転送はエージェント</t>
        </is>
      </c>
    </row>
    <row r="17" ht="40" customHeight="1">
      <c r="A17" s="12" t="inlineStr">
        <is>
          <t>12</t>
        </is>
      </c>
      <c r="B17" s="13" t="inlineStr">
        <is>
          <t>EFSの全体IOPSで1台の性能を説明する</t>
        </is>
      </c>
      <c r="C17" s="13" t="inlineStr">
        <is>
          <t>1クライアントの上限と、1回の遅延が見えなくなります。</t>
        </is>
      </c>
      <c r="D17" s="13" t="inlineStr">
        <is>
          <t>1台の遅延と、専用帯域で説明する</t>
        </is>
      </c>
    </row>
    <row r="18" ht="40" customHeight="1">
      <c r="A18" s="10" t="inlineStr">
        <is>
          <t>13</t>
        </is>
      </c>
      <c r="B18" s="11" t="inlineStr">
        <is>
          <t>一時領域のスナップショットを世代大量に残す</t>
        </is>
      </c>
      <c r="C18" s="11" t="inlineStr">
        <is>
          <t>下書きの履歴にスナップショット料金がかかります。東京の標準スナップショットは0.05 USD/GB月です。</t>
        </is>
      </c>
      <c r="D18" s="11" t="inlineStr">
        <is>
          <t>一時領域はスナップショットしない</t>
        </is>
      </c>
    </row>
    <row r="19" ht="40" customHeight="1">
      <c r="A19" s="12" t="inlineStr">
        <is>
          <t>14</t>
        </is>
      </c>
      <c r="B19" s="13" t="inlineStr">
        <is>
          <t>CPU 90%超のままTLS付きEFSを本番投入する</t>
        </is>
      </c>
      <c r="C19" s="13" t="inlineStr">
        <is>
          <t>計算と暗号化が同じコアを分け合います。</t>
        </is>
      </c>
      <c r="D19" s="13" t="inlineStr">
        <is>
          <t>載せるならITでCPUと所要時間を測ってから</t>
        </is>
      </c>
    </row>
  </sheetData>
  <autoFilter ref="A5:D19"/>
  <mergeCells count="3">
    <mergeCell ref="A1:D1"/>
    <mergeCell ref="A4:D4"/>
    <mergeCell ref="A2:D2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12 避けること&amp;C&amp;R&amp;"Meiryo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28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70" customWidth="1" min="2" max="2"/>
    <col width="40" customWidth="1" min="3" max="3"/>
  </cols>
  <sheetData>
    <row r="1" ht="32" customHeight="1">
      <c r="A1" s="14" t="inlineStr">
        <is>
          <t>用語。たとえに戻せるように書いています</t>
        </is>
      </c>
      <c r="B1" s="15" t="n"/>
      <c r="C1" s="15" t="n"/>
    </row>
    <row r="2">
      <c r="A2" s="5" t="n"/>
      <c r="B2" s="5" t="n"/>
      <c r="C2" s="5" t="n"/>
    </row>
    <row r="3" ht="24" customHeight="1">
      <c r="A3" s="6" t="inlineStr">
        <is>
          <t>言葉</t>
        </is>
      </c>
      <c r="B3" s="6" t="n"/>
      <c r="C3" s="6" t="n"/>
    </row>
    <row r="4" ht="32" customHeight="1">
      <c r="A4" s="7" t="inlineStr">
        <is>
          <t>用語</t>
        </is>
      </c>
      <c r="B4" s="7" t="inlineStr">
        <is>
          <t>意味</t>
        </is>
      </c>
      <c r="C4" s="7" t="inlineStr">
        <is>
          <t>たとえ</t>
        </is>
      </c>
    </row>
    <row r="5" ht="32" customHeight="1">
      <c r="A5" s="10" t="inlineStr">
        <is>
          <t>EC2</t>
        </is>
      </c>
      <c r="B5" s="11" t="inlineStr">
        <is>
          <t>雲の上に借りるコンピュータ。</t>
        </is>
      </c>
      <c r="C5" s="11" t="inlineStr">
        <is>
          <t>教室の机</t>
        </is>
      </c>
    </row>
    <row r="6" ht="32" customHeight="1">
      <c r="A6" s="12" t="inlineStr">
        <is>
          <t>vCPU</t>
        </is>
      </c>
      <c r="B6" s="13" t="inlineStr">
        <is>
          <t>そのコンピュータに見える計算係の数。c7aでは1 vCPUが1物理コア。</t>
        </is>
      </c>
      <c r="C6" s="13" t="inlineStr">
        <is>
          <t>同時に計算できる人数</t>
        </is>
      </c>
    </row>
    <row r="7" ht="32" customHeight="1">
      <c r="A7" s="10" t="inlineStr">
        <is>
          <t>JVM</t>
        </is>
      </c>
      <c r="B7" s="11" t="inlineStr">
        <is>
          <t>Javaのプログラムを動かす器。今回は1本がだいたい1コアを使いきる。</t>
        </is>
      </c>
      <c r="C7" s="11" t="inlineStr">
        <is>
          <t>一人の計算係</t>
        </is>
      </c>
    </row>
    <row r="8" ht="32" customHeight="1">
      <c r="A8" s="12" t="inlineStr">
        <is>
          <t>多重度</t>
        </is>
      </c>
      <c r="B8" s="13" t="inlineStr">
        <is>
          <t>同時に走らせるバッチの本数。10マルチは10本同時。</t>
        </is>
      </c>
      <c r="C8" s="13" t="inlineStr">
        <is>
          <t>同時に解かせる宿題の数</t>
        </is>
      </c>
    </row>
    <row r="9" ht="32" customHeight="1">
      <c r="A9" s="10" t="inlineStr">
        <is>
          <t>AZ</t>
        </is>
      </c>
      <c r="B9" s="11" t="inlineStr">
        <is>
          <t>リージョンの中の、離れたデータセンターのまとまり。</t>
        </is>
      </c>
      <c r="C9" s="11" t="inlineStr">
        <is>
          <t>校舎</t>
        </is>
      </c>
    </row>
    <row r="10" ht="32" customHeight="1">
      <c r="A10" s="12" t="inlineStr">
        <is>
          <t>EBS</t>
        </is>
      </c>
      <c r="B10" s="13" t="inlineStr">
        <is>
          <t>EC2に挿す、ネットワーク越しのディスク。ブロックの列。</t>
        </is>
      </c>
      <c r="C10" s="13" t="inlineStr">
        <is>
          <t>机に挿すノート</t>
        </is>
      </c>
    </row>
    <row r="11" ht="32" customHeight="1">
      <c r="A11" s="10" t="inlineStr">
        <is>
          <t>EFS</t>
        </is>
      </c>
      <c r="B11" s="11" t="inlineStr">
        <is>
          <t>複数のEC2から同時に使えるNFSのファイル置き場。</t>
        </is>
      </c>
      <c r="C11" s="11" t="inlineStr">
        <is>
          <t>廊下の共用棚</t>
        </is>
      </c>
    </row>
    <row r="12" ht="32" customHeight="1">
      <c r="A12" s="12" t="inlineStr">
        <is>
          <t>インスタンスストア</t>
        </is>
      </c>
      <c r="B12" s="13" t="inlineStr">
        <is>
          <t>EC2のホストに付いたディスク。止めると消える。c7aには無い。</t>
        </is>
      </c>
      <c r="C12" s="13" t="inlineStr">
        <is>
          <t>机の天板に直接書く</t>
        </is>
      </c>
    </row>
    <row r="13" ht="32" customHeight="1">
      <c r="A13" s="10" t="inlineStr">
        <is>
          <t>ブロック</t>
        </is>
      </c>
      <c r="B13" s="11" t="inlineStr">
        <is>
          <t>決まった大きさのマス目の列。ファイルの意味はOSが作る。</t>
        </is>
      </c>
      <c r="C13" s="11" t="inlineStr">
        <is>
          <t>マス目のノート</t>
        </is>
      </c>
    </row>
    <row r="14" ht="32" customHeight="1">
      <c r="A14" s="12" t="inlineStr">
        <is>
          <t>ファイル</t>
        </is>
      </c>
      <c r="B14" s="13" t="inlineStr">
        <is>
          <t>名前、権限、中身をセットにしたもの。</t>
        </is>
      </c>
      <c r="C14" s="13" t="inlineStr">
        <is>
          <t>表紙の付いた紙</t>
        </is>
      </c>
    </row>
    <row r="15" ht="32" customHeight="1">
      <c r="A15" s="10" t="inlineStr">
        <is>
          <t>NFS</t>
        </is>
      </c>
      <c r="B15" s="11" t="inlineStr">
        <is>
          <t>ネットワークの向こうのファイル係へ、作成や読み書きを頼む手順。EFSはNFSv4。</t>
        </is>
      </c>
      <c r="C15" s="11" t="inlineStr">
        <is>
          <t>窓口の依頼票</t>
        </is>
      </c>
    </row>
    <row r="16" ht="32" customHeight="1">
      <c r="A16" s="12" t="inlineStr">
        <is>
          <t>メタデータ</t>
        </is>
      </c>
      <c r="B16" s="13" t="inlineStr">
        <is>
          <t>中身以外の情報。名前、大きさ、日時、権限。作成や改名や削除。</t>
        </is>
      </c>
      <c r="C16" s="13" t="inlineStr">
        <is>
          <t>台帳への記帳</t>
        </is>
      </c>
    </row>
    <row r="17" ht="32" customHeight="1">
      <c r="A17" s="10" t="inlineStr">
        <is>
          <t>IOPS</t>
        </is>
      </c>
      <c r="B17" s="11" t="inlineStr">
        <is>
          <t>1秒あたりの読み書きの回数。</t>
        </is>
      </c>
      <c r="C17" s="11" t="inlineStr">
        <is>
          <t>1秒に窓口へ出せる枚数</t>
        </is>
      </c>
    </row>
    <row r="18" ht="32" customHeight="1">
      <c r="A18" s="12" t="inlineStr">
        <is>
          <t>スループット</t>
        </is>
      </c>
      <c r="B18" s="13" t="inlineStr">
        <is>
          <t>1秒あたりのバイトの量。</t>
        </is>
      </c>
      <c r="C18" s="13" t="inlineStr">
        <is>
          <t>1秒に運べる紙の重さ</t>
        </is>
      </c>
    </row>
    <row r="19" ht="32" customHeight="1">
      <c r="A19" s="10" t="inlineStr">
        <is>
          <t>レイテンシ</t>
        </is>
      </c>
      <c r="B19" s="11" t="inlineStr">
        <is>
          <t>1回を頼んで戻るまでの時間。</t>
        </is>
      </c>
      <c r="C19" s="11" t="inlineStr">
        <is>
          <t>廊下の往復時間</t>
        </is>
      </c>
    </row>
    <row r="20" ht="32" customHeight="1">
      <c r="A20" s="12" t="inlineStr">
        <is>
          <t>ページキャッシュ</t>
        </is>
      </c>
      <c r="B20" s="13" t="inlineStr">
        <is>
          <t>Linuxがメモリに置いておく、最近のディスクの写し。</t>
        </is>
      </c>
      <c r="C20" s="13" t="inlineStr">
        <is>
          <t>手元に残した下書きの写し</t>
        </is>
      </c>
    </row>
    <row r="21" ht="32" customHeight="1">
      <c r="A21" s="10" t="inlineStr">
        <is>
          <t>バースト</t>
        </is>
      </c>
      <c r="B21" s="11" t="inlineStr">
        <is>
          <t>短時間だけ太くなること。その後、基準の細さへ戻る。</t>
        </is>
      </c>
      <c r="C21" s="11" t="inlineStr">
        <is>
          <t>短距離走。長距離走ではない</t>
        </is>
      </c>
    </row>
    <row r="22" ht="32" customHeight="1">
      <c r="A22" s="12" t="inlineStr">
        <is>
          <t>ベースライン</t>
        </is>
      </c>
      <c r="B22" s="13" t="inlineStr">
        <is>
          <t>ずっと出してよい太さ。</t>
        </is>
      </c>
      <c r="C22" s="13" t="inlineStr">
        <is>
          <t>歩いて続けられる速さ</t>
        </is>
      </c>
    </row>
    <row r="23" ht="32" customHeight="1">
      <c r="A23" s="10" t="inlineStr">
        <is>
          <t>gp3</t>
        </is>
      </c>
      <c r="B23" s="11" t="inlineStr">
        <is>
          <t>容量と性能を別々に買う汎用SSD。3,000 IOPSと125MiB/s付き。</t>
        </is>
      </c>
      <c r="C23" s="11" t="inlineStr">
        <is>
          <t>薄くても一定の速さのノート</t>
        </is>
      </c>
    </row>
    <row r="24" ht="32" customHeight="1">
      <c r="A24" s="12" t="inlineStr">
        <is>
          <t>Elastic Throughput</t>
        </is>
      </c>
      <c r="B24" s="13" t="inlineStr">
        <is>
          <t>EFSが転送量に応じて太さを変え、運んだ量で課金する既定の方式。</t>
        </is>
      </c>
      <c r="C24" s="13" t="inlineStr">
        <is>
          <t>使った分だけ運賃がかかる棚</t>
        </is>
      </c>
    </row>
    <row r="25" ht="32" customHeight="1">
      <c r="A25" s="10" t="inlineStr">
        <is>
          <t>MiBとMB</t>
        </is>
      </c>
      <c r="B25" s="11" t="inlineStr">
        <is>
          <t>MiBは1024×1024バイト。MBは文脈で1000×1000のことがある。AWSのEBS表はMB/sと書いている箇所がある。</t>
        </is>
      </c>
      <c r="C25" s="11" t="inlineStr">
        <is>
          <t>定規の目盛りが少し違う</t>
        </is>
      </c>
    </row>
    <row r="26" ht="32" customHeight="1">
      <c r="A26" s="12" t="inlineStr">
        <is>
          <t>32KiB最低</t>
        </is>
      </c>
      <c r="B26" s="13" t="inlineStr">
        <is>
          <t>EFSのElasticで、データ操作を数えるときの最初の大きさ。短い書き込みもこの大きさから数え始める。</t>
        </is>
      </c>
      <c r="C26" s="13" t="inlineStr">
        <is>
          <t>はがき1枚でも小包の最低料金</t>
        </is>
      </c>
    </row>
    <row r="27" ht="32" customHeight="1">
      <c r="A27" s="10" t="inlineStr">
        <is>
          <t>Nitro</t>
        </is>
      </c>
      <c r="B27" s="11" t="inlineStr">
        <is>
          <t>EC2の周辺装置を担うAWSの仕組み。EBS暗号化をここで行う。</t>
        </is>
      </c>
      <c r="C27" s="11" t="inlineStr">
        <is>
          <t>机の下の専用係</t>
        </is>
      </c>
    </row>
    <row r="28" ht="32" customHeight="1">
      <c r="A28" s="12" t="inlineStr">
        <is>
          <t>POSIX</t>
        </is>
      </c>
      <c r="B28" s="13" t="inlineStr">
        <is>
          <t>ファイルの名前、権限、読み書きの伝統的な約束。EFSはこれをネットワーク越しに提供する。</t>
        </is>
      </c>
      <c r="C28" s="13" t="inlineStr">
        <is>
          <t>紙の扱い方の共通ルール</t>
        </is>
      </c>
    </row>
  </sheetData>
  <autoFilter ref="A4:C28"/>
  <mergeCells count="2">
    <mergeCell ref="A1:C1"/>
    <mergeCell ref="A3:C3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13 用語&amp;C&amp;R&amp;"Meiryo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26"/>
  <sheetViews>
    <sheetView showGridLines="0" view="normal" zoomScale="110" zoomScaleNormal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8" customWidth="1" min="1" max="1"/>
    <col width="78" customWidth="1" min="2" max="2"/>
    <col width="36" customWidth="1" min="3" max="3"/>
  </cols>
  <sheetData>
    <row r="1" ht="32" customHeight="1">
      <c r="A1" s="14" t="inlineStr">
        <is>
          <t>出典と、この資料が測っていないこと</t>
        </is>
      </c>
      <c r="B1" s="15" t="n"/>
      <c r="C1" s="15" t="n"/>
    </row>
    <row r="2" ht="24" customHeight="1">
      <c r="A2" s="3" t="inlineStr">
        <is>
          <t>性能と料金は2026年10月12日に確認した公開情報です。翌月には改定され得ます。</t>
        </is>
      </c>
      <c r="B2" s="4" t="n"/>
      <c r="C2" s="4" t="n"/>
    </row>
    <row r="3">
      <c r="A3" s="5" t="n"/>
      <c r="B3" s="5" t="n"/>
      <c r="C3" s="5" t="n"/>
    </row>
    <row r="4" ht="24" customHeight="1">
      <c r="A4" s="6" t="inlineStr">
        <is>
          <t>出典</t>
        </is>
      </c>
      <c r="B4" s="6" t="n"/>
      <c r="C4" s="6" t="n"/>
    </row>
    <row r="5" ht="32" customHeight="1">
      <c r="A5" s="7" t="inlineStr">
        <is>
          <t>事実</t>
        </is>
      </c>
      <c r="B5" s="7" t="inlineStr">
        <is>
          <t>出典</t>
        </is>
      </c>
      <c r="C5" s="7" t="inlineStr">
        <is>
          <t>確認</t>
        </is>
      </c>
    </row>
    <row r="6" ht="48" customHeight="1">
      <c r="A6" s="10" t="inlineStr">
        <is>
          <t>EFSの遅延、IOPS、スループット、Max I/Oは旧世代</t>
        </is>
      </c>
      <c r="B6" s="11" t="inlineStr">
        <is>
          <t>Amazon EFS User Guide, performance.html。2026-10-10時点の公開ページ</t>
        </is>
      </c>
      <c r="C6" s="11" t="inlineStr">
        <is>
          <t>Regional Elasticは読約1ms、書約2.7ms。1クライアント1,500MiBps</t>
        </is>
      </c>
    </row>
    <row r="7" ht="48" customHeight="1">
      <c r="A7" s="12" t="inlineStr">
        <is>
          <t>Elasticの既定IOPSと引き上げ</t>
        </is>
      </c>
      <c r="B7" s="13" t="inlineStr">
        <is>
          <t>同ガイドの脚注、および EFS quotas。よく使うデータの読み25万、書き5万。申請で10倍まで</t>
        </is>
      </c>
      <c r="C7" s="13" t="inlineStr">
        <is>
          <t>東京のファイルシステム全体は読み60GiBps、書き5GiBps</t>
        </is>
      </c>
    </row>
    <row r="8" ht="48" customHeight="1">
      <c r="A8" s="10" t="inlineStr">
        <is>
          <t>32KiBと4KiBの計測</t>
        </is>
      </c>
      <c r="B8" s="11" t="inlineStr">
        <is>
          <t>Amazon EFS User Guide, metered-sizes.html。データは最初の32KiBのあと1KiB。メタデータは最初の4KiBのあと1KiB</t>
        </is>
      </c>
      <c r="C8" s="11" t="inlineStr">
        <is>
          <t>性能勘定の別記述は、NFS要求を最低4KB</t>
        </is>
      </c>
    </row>
    <row r="9" ht="48" customHeight="1">
      <c r="A9" s="12" t="inlineStr">
        <is>
          <t>EFS東京料金</t>
        </is>
      </c>
      <c r="B9" s="13" t="inlineStr">
        <is>
          <t>AWS Price List AmazonEFS ap-northeast-1。publicationDate 2026-09-11。effectiveDate 2025-09-01</t>
        </is>
      </c>
      <c r="C9" s="13" t="inlineStr">
        <is>
          <t>Standard 0.36。読0.04。書0.07。One Zone 0.192。プロビジョンド 7.20 USD/MiBps月</t>
        </is>
      </c>
    </row>
    <row r="10" ht="48" customHeight="1">
      <c r="A10" s="10" t="inlineStr">
        <is>
          <t>EBSボリューム性能</t>
        </is>
      </c>
      <c r="B10" s="11" t="inlineStr">
        <is>
          <t>Amazon EBS User Guide, volume types / general purpose / provisioned IOPS。gp3は64TiB、80,000 IOPS、2,000MiB/s。io2は2025-04-30以降すべてBlock Express</t>
        </is>
      </c>
      <c r="C10" s="11" t="inlineStr">
        <is>
          <t>gp3にバーストクレジットはない</t>
        </is>
      </c>
    </row>
    <row r="11" ht="48" customHeight="1">
      <c r="A11" s="12" t="inlineStr">
        <is>
          <t>gp3上限拡張の時期</t>
        </is>
      </c>
      <c r="B11" s="13" t="inlineStr">
        <is>
          <t>Amazon EBS User Guide, document history。2025-10-14のgp3更新</t>
        </is>
      </c>
      <c r="C11" s="13" t="inlineStr">
        <is>
          <t>80,000 IOPS、2,000MiB/s、64TiB</t>
        </is>
      </c>
    </row>
    <row r="12" ht="48" customHeight="1">
      <c r="A12" s="10" t="inlineStr">
        <is>
          <t>EBS東京料金</t>
        </is>
      </c>
      <c r="B12" s="11" t="inlineStr">
        <is>
          <t>AWS公開価格 ebs.json（calculator用meteredUnitMaps）。2026-10-12取得。Asia Pacific (Tokyo)</t>
        </is>
      </c>
      <c r="C12" s="11" t="inlineStr">
        <is>
          <t>gp3 0.096 USD/GB月。IOPS 0.006。スループット 49.152 USD/GiBps月。gp2 0.12。io2容量0.142。スナップショット0.05</t>
        </is>
      </c>
    </row>
    <row r="13" ht="48" customHeight="1">
      <c r="A13" s="12" t="inlineStr">
        <is>
          <t>c7aのネットワークとEBS</t>
        </is>
      </c>
      <c r="B13" s="13" t="inlineStr">
        <is>
          <t>Amazon EC2 C7a product page。Instance types guideのベースライン表。EBS-optimized instance types</t>
        </is>
      </c>
      <c r="C13" s="13" t="inlineStr">
        <is>
          <t>2xlargeは脚注1。8xlargeは脚注2。ネットワーク3.125/12.5と12.5固定</t>
        </is>
      </c>
    </row>
    <row r="14" ht="48" customHeight="1">
      <c r="A14" s="10" t="inlineStr">
        <is>
          <t>EBSバースト30分</t>
        </is>
      </c>
      <c r="B14" s="11" t="inlineStr">
        <is>
          <t>EBS-optimized instance typesの脚注1。最大性能を少なくとも24時間に1回、30分維持できる。その後ベースライン</t>
        </is>
      </c>
      <c r="C14" s="11" t="inlineStr">
        <is>
          <t>脚注2は終日その性能</t>
        </is>
      </c>
    </row>
    <row r="15" ht="48" customHeight="1">
      <c r="A15" s="12" t="inlineStr">
        <is>
          <t>ネットワーククレジット</t>
        </is>
      </c>
      <c r="B15" s="13" t="inlineStr">
        <is>
          <t>EC2 instance types guideの注記。ベースラインを超えるバーストはベストエフォート</t>
        </is>
      </c>
      <c r="C15" s="13" t="inlineStr">
        <is>
          <t>EBSの30分保証とは書き分けてある</t>
        </is>
      </c>
    </row>
    <row r="16" ht="48" customHeight="1">
      <c r="A16" s="10" t="inlineStr">
        <is>
          <t>EBS専用帯域の目的</t>
        </is>
      </c>
      <c r="B16" s="11" t="inlineStr">
        <is>
          <t>EBS-optimizedの説明。EBS I/Oと他トラフィックの競合を最小化する</t>
        </is>
      </c>
      <c r="C16" s="11" t="inlineStr">
        <is>
          <t>EFSはこちらの帯域を使わない</t>
        </is>
      </c>
    </row>
    <row r="17" ht="48" customHeight="1">
      <c r="A17" s="12" t="inlineStr">
        <is>
          <t>歴史</t>
        </is>
      </c>
      <c r="B17" s="13" t="inlineStr">
        <is>
          <t>EBSは2008-08-20（All Things Distributed 2024、および年表）。gp2は2014-06-16。gp3は2020-12-01。EFS GAは2016-06-29のAWS発表。Batchは2016年12月発表</t>
        </is>
      </c>
      <c r="C17" s="13" t="inlineStr">
        <is>
          <t>日付は各一次情報に合わせています</t>
        </is>
      </c>
    </row>
    <row r="18" ht="48" customHeight="1">
      <c r="A18" s="10" t="inlineStr">
        <is>
          <t>耐久性</t>
        </is>
      </c>
      <c r="B18" s="11" t="inlineStr">
        <is>
          <t>EBS volume typesの表。gp3は99.8%から99.9%。io2は99.999%。EFS storage classesは11ナイン、Regional SLA 99.99%</t>
        </is>
      </c>
      <c r="C18" s="11" t="inlineStr">
        <is>
          <t>故障率とビット耐久性を同じ百分率として比べない</t>
        </is>
      </c>
    </row>
    <row r="19" ht="48" customHeight="1">
      <c r="A19" s="12" t="inlineStr">
        <is>
          <t>クロスAZ</t>
        </is>
      </c>
      <c r="B19" s="13" t="inlineStr">
        <is>
          <t>Amazon EFS pricingのReplication and data transfer。同一AZのマウントターゲットアクセスにデータ転送料はない。別AZはEC2のクロスAZ料</t>
        </is>
      </c>
      <c r="C19" s="13" t="inlineStr">
        <is>
          <t>0.01 USD/GBはEC2料金表の一般的な同一リージョン転送。改定を料金表で再確認</t>
        </is>
      </c>
    </row>
    <row r="20" ht="24" customHeight="1">
      <c r="A20" s="6" t="inlineStr">
        <is>
          <t>この資料が行っていないこと</t>
        </is>
      </c>
      <c r="B20" s="6" t="n"/>
      <c r="C20" s="6" t="n"/>
    </row>
    <row r="21" ht="32" customHeight="1">
      <c r="A21" s="7" t="inlineStr">
        <is>
          <t>項目</t>
        </is>
      </c>
      <c r="B21" s="7" t="inlineStr">
        <is>
          <t>理由</t>
        </is>
      </c>
      <c r="C21" s="7" t="inlineStr">
        <is>
          <t>次にやると精度が上がること</t>
        </is>
      </c>
    </row>
    <row r="22" ht="36" customHeight="1">
      <c r="A22" s="10" t="inlineStr">
        <is>
          <t>実機でのfioやバッチ計測</t>
        </is>
      </c>
      <c r="B22" s="11" t="inlineStr">
        <is>
          <t>この環境に対象のEC2は無い</t>
        </is>
      </c>
      <c r="C22" s="11" t="inlineStr">
        <is>
          <t>ITのc7a.2xlargeで、現行ディスクのawaitと所要時間を取る</t>
        </is>
      </c>
    </row>
    <row r="23" ht="36" customHeight="1">
      <c r="A23" s="12" t="inlineStr">
        <is>
          <t>本番インスタンスタイプの確定</t>
        </is>
      </c>
      <c r="B23" s="13" t="inlineStr">
        <is>
          <t>記載は32vCPUまで</t>
        </is>
      </c>
      <c r="C23" s="13" t="inlineStr">
        <is>
          <t>実タイプのEBS帯域とネットワークが脚注1か2かを確認する</t>
        </is>
      </c>
    </row>
    <row r="24" ht="36" customHeight="1">
      <c r="A24" s="10" t="inlineStr">
        <is>
          <t>ヒープサイズとGCの実測</t>
        </is>
      </c>
      <c r="B24" s="11" t="inlineStr">
        <is>
          <t>メモリの厳しさは割り算の上限</t>
        </is>
      </c>
      <c r="C24" s="11" t="inlineStr">
        <is>
          <t>58JVMの-Xmx合計と、空きメモリを確認する</t>
        </is>
      </c>
    </row>
    <row r="25" ht="36" customHeight="1">
      <c r="A25" s="12" t="inlineStr">
        <is>
          <t>ログ1行の実バイトとflush設定</t>
        </is>
      </c>
      <c r="B25" s="13" t="inlineStr">
        <is>
          <t>課金倍率を決める</t>
        </is>
      </c>
      <c r="C25" s="13" t="inlineStr">
        <is>
          <t>Log4jまたはLogbackのimmediateFlushと、1秒のwrite回数</t>
        </is>
      </c>
    </row>
    <row r="26" ht="36" customHeight="1">
      <c r="A26" s="10" t="inlineStr">
        <is>
          <t>料金の見積書化</t>
        </is>
      </c>
      <c r="B26" s="11" t="inlineStr">
        <is>
          <t>公開単価の税別概算</t>
        </is>
      </c>
      <c r="C26" s="11" t="inlineStr">
        <is>
          <t>組織の契約単価、Savings Plan、消費税を経理の単価で掛け直す</t>
        </is>
      </c>
    </row>
  </sheetData>
  <mergeCells count="4">
    <mergeCell ref="A1:C1"/>
    <mergeCell ref="A4:C4"/>
    <mergeCell ref="A20:C20"/>
    <mergeCell ref="A2:C2"/>
  </mergeCells>
  <printOptions horizontalCentered="1"/>
  <pageMargins left="0.5" right="0.5" top="0.7" bottom="0.6" header="0.3" footer="0.3"/>
  <pageSetup orientation="landscape" paperSize="8" scale="70" fitToHeight="0" fitToWidth="1" horizontalDpi="300" verticalDpi="300"/>
  <headerFooter>
    <oddHeader>&amp;L&amp;"Meiryo UI,Bold"&amp;10 14 出典&amp;C&amp;R&amp;"Meiryo UI"&amp;9 EBSとEFS比較  2026-10-12</oddHeader>
    <oddFooter>&amp;L&amp;"Meiryo UI"&amp;8 東京リージョン公開料金・税別。性能値は公式仕様の最良条件を含む。&amp;R&amp;"Meiryo UI"&amp;8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EBS EFS comparison</dc:creator>
  <dc:title xmlns:dc="http://purl.org/dc/elements/1.1/">バッチサーバのログと一時領域 EBSとEFS</dc:title>
  <dc:description xmlns:dc="http://purl.org/dc/elements/1.1/">2026-10-12時点。東京リージョン。c7aバッチサーバ向け。</dc:description>
  <dc:subject xmlns:dc="http://purl.org/dc/elements/1.1/">EC2バッチサーバのログ領域・一時領域はEBS gp3を採用する</dc:subject>
  <dcterms:created xmlns:dcterms="http://purl.org/dc/terms/" xmlns:xsi="http://www.w3.org/2001/XMLSchema-instance" xsi:type="dcterms:W3CDTF">2026-10-11T18:47:01Z</dcterms:created>
  <dcterms:modified xmlns:dcterms="http://purl.org/dc/terms/" xmlns:xsi="http://www.w3.org/2001/XMLSchema-instance" xsi:type="dcterms:W3CDTF">2026-10-11T18:47:01Z</dcterms:modified>
  <cp:category>設計判断</cp:category>
  <cp:keywords>EBS,EFS,EC2,c7a,バッチ,ログ,一時領域</cp:keywords>
</cp:coreProperties>
</file>